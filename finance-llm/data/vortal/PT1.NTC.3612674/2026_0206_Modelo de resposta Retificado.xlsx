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CCS\UCBST\UMC\19 CIM - Consumíveis Impressão\Agregação 2026\05 Processos\2026_0206_CPI_Agregação 26\10 Retificação de peças\"/>
    </mc:Choice>
  </mc:AlternateContent>
  <xr:revisionPtr revIDLastSave="0" documentId="13_ncr:1_{EAA16A19-CAD0-4955-B27F-353EBEFA3FF4}" xr6:coauthVersionLast="47" xr6:coauthVersionMax="47" xr10:uidLastSave="{00000000-0000-0000-0000-000000000000}"/>
  <bookViews>
    <workbookView xWindow="28680" yWindow="-120" windowWidth="29040" windowHeight="15720" tabRatio="567" xr2:uid="{00000000-000D-0000-FFFF-FFFF00000000}"/>
  </bookViews>
  <sheets>
    <sheet name="Modelo de Resposta" sheetId="1" r:id="rId1"/>
    <sheet name="Valor Total por Lote" sheetId="56" r:id="rId2"/>
    <sheet name="CHLO - Retif" sheetId="40" state="hidden" r:id="rId3"/>
  </sheets>
  <externalReferences>
    <externalReference r:id="rId4"/>
  </externalReferences>
  <definedNames>
    <definedName name="_xlnm._FilterDatabase" localSheetId="2" hidden="1">'CHLO - Retif'!$B$2:$M$85</definedName>
    <definedName name="_xlnm._FilterDatabase" localSheetId="0" hidden="1">'Modelo de Resposta'!$B$11:$N$757</definedName>
    <definedName name="BTE">'[1]3. Parâmetros'!$D$12:$D$13</definedName>
    <definedName name="CA201600001">#REF!</definedName>
    <definedName name="CA201600002">#REF!</definedName>
    <definedName name="CA201600003">#REF!</definedName>
    <definedName name="CA201600004">#REF!</definedName>
    <definedName name="CA201600009">#REF!</definedName>
    <definedName name="CA201600010">#REF!</definedName>
    <definedName name="CA201600013">#REF!</definedName>
    <definedName name="CA201600015">#REF!</definedName>
    <definedName name="CA201600016">#REF!</definedName>
    <definedName name="CA201600017">#REF!</definedName>
    <definedName name="CA201600018">#REF!</definedName>
    <definedName name="CA201600019">#REF!</definedName>
    <definedName name="CA201600020">#REF!</definedName>
    <definedName name="CA201600021">#REF!</definedName>
    <definedName name="CA201600022">#REF!</definedName>
    <definedName name="CA201600023">#REF!</definedName>
    <definedName name="CA201600033">#REF!</definedName>
    <definedName name="CA201600034">#REF!</definedName>
    <definedName name="CA201600035">#REF!</definedName>
    <definedName name="CA201600036">#REF!</definedName>
    <definedName name="CA201600037">#REF!</definedName>
    <definedName name="CA201600038">#REF!</definedName>
    <definedName name="CA201600039">#REF!</definedName>
    <definedName name="CA201600040">#REF!</definedName>
    <definedName name="CA201600041">#REF!</definedName>
    <definedName name="CA201600042">#REF!</definedName>
    <definedName name="CA201600043">#REF!</definedName>
    <definedName name="CA201600044">#REF!</definedName>
    <definedName name="CA201600045">#REF!</definedName>
    <definedName name="CA201600046">#REF!</definedName>
    <definedName name="CA201600047">#REF!</definedName>
    <definedName name="CA201600048">#REF!</definedName>
    <definedName name="CA201600049">#REF!</definedName>
    <definedName name="CA201600050">#REF!</definedName>
    <definedName name="CA201600051">#REF!</definedName>
    <definedName name="CA201600052">#REF!</definedName>
    <definedName name="CA201600073">#REF!</definedName>
    <definedName name="CA201600074">#REF!</definedName>
    <definedName name="CA201600075">#REF!</definedName>
    <definedName name="CA201600076">#REF!</definedName>
    <definedName name="MT">'[1]3. Parâmetros'!$E$12</definedName>
    <definedName name="ref">#REF!</definedName>
    <definedName name="Tensão">'[1]3. Parâmetros'!$C$12:$C$13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42" i="1" l="1"/>
  <c r="M743" i="1"/>
  <c r="M535" i="1"/>
  <c r="M744" i="1"/>
  <c r="M182" i="1"/>
  <c r="M183" i="1"/>
  <c r="M184" i="1"/>
  <c r="M185" i="1"/>
  <c r="M186" i="1"/>
  <c r="M187" i="1"/>
  <c r="M188" i="1"/>
  <c r="M189" i="1"/>
  <c r="M702" i="1"/>
  <c r="M703" i="1"/>
  <c r="M704" i="1"/>
  <c r="M705" i="1"/>
  <c r="M706" i="1"/>
  <c r="M707" i="1"/>
  <c r="M536" i="1"/>
  <c r="M537" i="1"/>
  <c r="M45" i="1"/>
  <c r="M708" i="1"/>
  <c r="M190" i="1"/>
  <c r="M191" i="1"/>
  <c r="M192" i="1"/>
  <c r="M193" i="1"/>
  <c r="M96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538" i="1"/>
  <c r="M539" i="1"/>
  <c r="M540" i="1"/>
  <c r="M541" i="1"/>
  <c r="M709" i="1"/>
  <c r="M542" i="1"/>
  <c r="M543" i="1"/>
  <c r="M544" i="1"/>
  <c r="M545" i="1"/>
  <c r="M214" i="1"/>
  <c r="M710" i="1"/>
  <c r="M445" i="1"/>
  <c r="M560" i="1"/>
  <c r="M558" i="1"/>
  <c r="M559" i="1"/>
  <c r="M557" i="1"/>
  <c r="M556" i="1"/>
  <c r="M561" i="1"/>
  <c r="M563" i="1"/>
  <c r="M562" i="1"/>
  <c r="M564" i="1"/>
  <c r="M444" i="1"/>
  <c r="M337" i="1"/>
  <c r="M44" i="1"/>
  <c r="M338" i="1"/>
  <c r="M336" i="1"/>
  <c r="M43" i="1"/>
  <c r="M41" i="1"/>
  <c r="M42" i="1"/>
  <c r="M339" i="1"/>
  <c r="M651" i="1"/>
  <c r="M177" i="1"/>
  <c r="M176" i="1"/>
  <c r="M178" i="1"/>
  <c r="M179" i="1"/>
  <c r="M62" i="1"/>
  <c r="M61" i="1"/>
  <c r="M59" i="1"/>
  <c r="M58" i="1"/>
  <c r="M60" i="1"/>
  <c r="M141" i="1"/>
  <c r="M142" i="1"/>
  <c r="M143" i="1"/>
  <c r="M144" i="1"/>
  <c r="M145" i="1"/>
  <c r="M146" i="1"/>
  <c r="M688" i="1"/>
  <c r="M689" i="1"/>
  <c r="M641" i="1"/>
  <c r="M402" i="1"/>
  <c r="M383" i="1"/>
  <c r="M382" i="1"/>
  <c r="M391" i="1"/>
  <c r="M386" i="1"/>
  <c r="M390" i="1"/>
  <c r="M387" i="1"/>
  <c r="M405" i="1"/>
  <c r="M388" i="1"/>
  <c r="M385" i="1"/>
  <c r="M389" i="1"/>
  <c r="M392" i="1"/>
  <c r="M407" i="1"/>
  <c r="M408" i="1"/>
  <c r="M406" i="1"/>
  <c r="M396" i="1"/>
  <c r="M393" i="1"/>
  <c r="M394" i="1"/>
  <c r="M395" i="1"/>
  <c r="M414" i="1"/>
  <c r="M410" i="1"/>
  <c r="M413" i="1"/>
  <c r="M401" i="1"/>
  <c r="M403" i="1"/>
  <c r="M400" i="1"/>
  <c r="M409" i="1"/>
  <c r="M411" i="1"/>
  <c r="M412" i="1"/>
  <c r="M404" i="1"/>
  <c r="M397" i="1"/>
  <c r="M398" i="1"/>
  <c r="M399" i="1"/>
  <c r="M266" i="1"/>
  <c r="M267" i="1"/>
  <c r="M265" i="1"/>
  <c r="M264" i="1"/>
  <c r="M69" i="1"/>
  <c r="M76" i="1"/>
  <c r="M71" i="1"/>
  <c r="M73" i="1"/>
  <c r="M74" i="1"/>
  <c r="M75" i="1"/>
  <c r="M70" i="1"/>
  <c r="M682" i="1"/>
  <c r="M679" i="1"/>
  <c r="M632" i="1"/>
  <c r="M635" i="1"/>
  <c r="M365" i="1"/>
  <c r="M366" i="1"/>
  <c r="M367" i="1"/>
  <c r="M369" i="1"/>
  <c r="M371" i="1"/>
  <c r="M370" i="1"/>
  <c r="M77" i="1"/>
  <c r="M78" i="1"/>
  <c r="M374" i="1"/>
  <c r="M378" i="1"/>
  <c r="M379" i="1"/>
  <c r="M376" i="1"/>
  <c r="M372" i="1"/>
  <c r="M380" i="1"/>
  <c r="M381" i="1"/>
  <c r="M507" i="1"/>
  <c r="M509" i="1"/>
  <c r="M506" i="1"/>
  <c r="M505" i="1"/>
  <c r="M508" i="1"/>
  <c r="M504" i="1"/>
  <c r="M510" i="1"/>
  <c r="M503" i="1"/>
  <c r="M502" i="1"/>
  <c r="M683" i="1"/>
  <c r="M680" i="1"/>
  <c r="M684" i="1"/>
  <c r="M685" i="1"/>
  <c r="M686" i="1"/>
  <c r="M687" i="1"/>
  <c r="M677" i="1"/>
  <c r="M678" i="1"/>
  <c r="M681" i="1"/>
  <c r="M639" i="1"/>
  <c r="M361" i="1"/>
  <c r="M362" i="1"/>
  <c r="M363" i="1"/>
  <c r="M364" i="1"/>
  <c r="M373" i="1"/>
  <c r="M375" i="1"/>
  <c r="M368" i="1"/>
  <c r="M377" i="1"/>
  <c r="M757" i="1"/>
  <c r="M167" i="1"/>
  <c r="M168" i="1"/>
  <c r="M169" i="1"/>
  <c r="M170" i="1"/>
  <c r="M171" i="1"/>
  <c r="M172" i="1"/>
  <c r="M30" i="1"/>
  <c r="M29" i="1"/>
  <c r="M34" i="1"/>
  <c r="M31" i="1"/>
  <c r="M33" i="1"/>
  <c r="M32" i="1"/>
  <c r="M640" i="1"/>
  <c r="M638" i="1"/>
  <c r="M637" i="1"/>
  <c r="M636" i="1"/>
  <c r="M633" i="1"/>
  <c r="M634" i="1"/>
  <c r="M631" i="1"/>
  <c r="M731" i="1"/>
  <c r="M670" i="1"/>
  <c r="M669" i="1"/>
  <c r="M671" i="1"/>
  <c r="M672" i="1"/>
  <c r="M593" i="1"/>
  <c r="M603" i="1"/>
  <c r="M668" i="1"/>
  <c r="M245" i="1"/>
  <c r="M259" i="1"/>
  <c r="M260" i="1"/>
  <c r="M261" i="1"/>
  <c r="M262" i="1"/>
  <c r="M16" i="1"/>
  <c r="M17" i="1"/>
  <c r="M18" i="1"/>
  <c r="M19" i="1"/>
  <c r="M247" i="1"/>
  <c r="M248" i="1"/>
  <c r="M246" i="1"/>
  <c r="M600" i="1"/>
  <c r="M595" i="1"/>
  <c r="M249" i="1"/>
  <c r="M250" i="1"/>
  <c r="M251" i="1"/>
  <c r="M252" i="1"/>
  <c r="M253" i="1"/>
  <c r="M254" i="1"/>
  <c r="M263" i="1"/>
  <c r="M255" i="1"/>
  <c r="M256" i="1"/>
  <c r="M257" i="1"/>
  <c r="M258" i="1"/>
  <c r="M107" i="1"/>
  <c r="M105" i="1"/>
  <c r="M106" i="1"/>
  <c r="M108" i="1"/>
  <c r="M729" i="1"/>
  <c r="M499" i="1"/>
  <c r="M500" i="1"/>
  <c r="M501" i="1"/>
  <c r="M667" i="1"/>
  <c r="M666" i="1"/>
  <c r="M601" i="1"/>
  <c r="M596" i="1"/>
  <c r="M597" i="1"/>
  <c r="M594" i="1"/>
  <c r="M589" i="1"/>
  <c r="M598" i="1"/>
  <c r="M590" i="1"/>
  <c r="M599" i="1"/>
  <c r="M591" i="1"/>
  <c r="M732" i="1"/>
  <c r="M733" i="1"/>
  <c r="M109" i="1"/>
  <c r="M753" i="1"/>
  <c r="M754" i="1"/>
  <c r="M602" i="1"/>
  <c r="M725" i="1"/>
  <c r="M726" i="1"/>
  <c r="M727" i="1"/>
  <c r="M728" i="1"/>
  <c r="M84" i="1"/>
  <c r="M592" i="1"/>
  <c r="M72" i="1"/>
  <c r="M37" i="1"/>
  <c r="M38" i="1"/>
  <c r="M173" i="1"/>
  <c r="M174" i="1"/>
  <c r="M175" i="1"/>
  <c r="M429" i="1"/>
  <c r="M430" i="1"/>
  <c r="M431" i="1"/>
  <c r="M647" i="1"/>
  <c r="M648" i="1"/>
  <c r="M649" i="1"/>
  <c r="M650" i="1"/>
  <c r="M696" i="1"/>
  <c r="M697" i="1"/>
  <c r="M428" i="1"/>
  <c r="M243" i="1"/>
  <c r="M583" i="1"/>
  <c r="M585" i="1"/>
  <c r="M584" i="1"/>
  <c r="M665" i="1"/>
  <c r="M244" i="1"/>
  <c r="M695" i="1"/>
  <c r="M662" i="1"/>
  <c r="M663" i="1"/>
  <c r="M664" i="1"/>
  <c r="M586" i="1"/>
  <c r="M694" i="1"/>
  <c r="M690" i="1"/>
  <c r="M423" i="1"/>
  <c r="M661" i="1"/>
  <c r="M693" i="1"/>
  <c r="M691" i="1"/>
  <c r="M692" i="1"/>
  <c r="M588" i="1"/>
  <c r="M587" i="1"/>
  <c r="M424" i="1"/>
  <c r="M426" i="1"/>
  <c r="M425" i="1"/>
  <c r="M99" i="1"/>
  <c r="M100" i="1"/>
  <c r="M101" i="1"/>
  <c r="M102" i="1"/>
  <c r="M103" i="1"/>
  <c r="M104" i="1"/>
  <c r="M427" i="1"/>
  <c r="M751" i="1"/>
  <c r="M752" i="1"/>
  <c r="M658" i="1"/>
  <c r="M659" i="1"/>
  <c r="M660" i="1"/>
  <c r="M449" i="1"/>
  <c r="M453" i="1"/>
  <c r="M422" i="1"/>
  <c r="M450" i="1"/>
  <c r="M483" i="1"/>
  <c r="M490" i="1"/>
  <c r="M492" i="1"/>
  <c r="M469" i="1"/>
  <c r="M470" i="1"/>
  <c r="M455" i="1"/>
  <c r="M454" i="1"/>
  <c r="M718" i="1"/>
  <c r="M348" i="1"/>
  <c r="M347" i="1"/>
  <c r="M493" i="1"/>
  <c r="M456" i="1"/>
  <c r="M452" i="1"/>
  <c r="M673" i="1"/>
  <c r="M451" i="1"/>
  <c r="M735" i="1"/>
  <c r="M736" i="1"/>
  <c r="M734" i="1"/>
  <c r="M737" i="1"/>
  <c r="M674" i="1"/>
  <c r="M484" i="1"/>
  <c r="M485" i="1"/>
  <c r="M487" i="1"/>
  <c r="M166" i="1"/>
  <c r="M155" i="1"/>
  <c r="M165" i="1"/>
  <c r="M156" i="1"/>
  <c r="M154" i="1"/>
  <c r="M157" i="1"/>
  <c r="M164" i="1"/>
  <c r="M158" i="1"/>
  <c r="M159" i="1"/>
  <c r="M161" i="1"/>
  <c r="M162" i="1"/>
  <c r="M163" i="1"/>
  <c r="M160" i="1"/>
  <c r="M97" i="1"/>
  <c r="M98" i="1"/>
  <c r="M341" i="1"/>
  <c r="M342" i="1"/>
  <c r="M343" i="1"/>
  <c r="M344" i="1"/>
  <c r="M345" i="1"/>
  <c r="M346" i="1"/>
  <c r="M241" i="1"/>
  <c r="M235" i="1"/>
  <c r="M237" i="1"/>
  <c r="M239" i="1"/>
  <c r="M236" i="1"/>
  <c r="M238" i="1"/>
  <c r="M240" i="1"/>
  <c r="M242" i="1"/>
  <c r="M486" i="1"/>
  <c r="M482" i="1"/>
  <c r="M488" i="1"/>
  <c r="M489" i="1"/>
  <c r="M491" i="1"/>
  <c r="M738" i="1"/>
  <c r="M576" i="1"/>
  <c r="M569" i="1"/>
  <c r="M571" i="1"/>
  <c r="M574" i="1"/>
  <c r="M573" i="1"/>
  <c r="M568" i="1"/>
  <c r="M567" i="1"/>
  <c r="M582" i="1"/>
  <c r="M580" i="1"/>
  <c r="M578" i="1"/>
  <c r="M577" i="1"/>
  <c r="M579" i="1"/>
  <c r="M581" i="1"/>
  <c r="M570" i="1"/>
  <c r="M572" i="1"/>
  <c r="M575" i="1"/>
  <c r="M498" i="1"/>
  <c r="M495" i="1"/>
  <c r="M497" i="1"/>
  <c r="M496" i="1"/>
  <c r="M494" i="1"/>
  <c r="M511" i="1"/>
  <c r="M656" i="1"/>
  <c r="M657" i="1"/>
  <c r="M14" i="1"/>
  <c r="M417" i="1"/>
  <c r="M234" i="1"/>
  <c r="M418" i="1"/>
  <c r="M746" i="1"/>
  <c r="M36" i="1"/>
  <c r="M35" i="1"/>
  <c r="M642" i="1"/>
  <c r="M555" i="1"/>
  <c r="M553" i="1"/>
  <c r="M554" i="1"/>
  <c r="M646" i="1"/>
  <c r="M645" i="1"/>
  <c r="M644" i="1"/>
  <c r="M643" i="1"/>
  <c r="M748" i="1"/>
  <c r="M745" i="1"/>
  <c r="M747" i="1"/>
  <c r="M749" i="1"/>
  <c r="M750" i="1"/>
  <c r="M15" i="1"/>
  <c r="M550" i="1"/>
  <c r="M548" i="1"/>
  <c r="M219" i="1"/>
  <c r="M233" i="1"/>
  <c r="M230" i="1"/>
  <c r="M12" i="1"/>
  <c r="M231" i="1"/>
  <c r="M224" i="1"/>
  <c r="M220" i="1"/>
  <c r="M221" i="1"/>
  <c r="M222" i="1"/>
  <c r="M223" i="1"/>
  <c r="M218" i="1"/>
  <c r="M225" i="1"/>
  <c r="M547" i="1"/>
  <c r="M546" i="1"/>
  <c r="M549" i="1"/>
  <c r="M226" i="1"/>
  <c r="M227" i="1"/>
  <c r="M229" i="1"/>
  <c r="M232" i="1"/>
  <c r="M551" i="1"/>
  <c r="M228" i="1"/>
  <c r="M552" i="1"/>
  <c r="M215" i="1"/>
  <c r="M216" i="1"/>
  <c r="M217" i="1"/>
  <c r="M13" i="1"/>
  <c r="M520" i="1"/>
  <c r="M85" i="1"/>
  <c r="M518" i="1"/>
  <c r="M517" i="1"/>
  <c r="M653" i="1"/>
  <c r="M655" i="1"/>
  <c r="M519" i="1"/>
  <c r="M654" i="1"/>
  <c r="M515" i="1"/>
  <c r="M516" i="1"/>
  <c r="M521" i="1"/>
  <c r="M514" i="1"/>
  <c r="M83" i="1"/>
  <c r="M353" i="1"/>
  <c r="M349" i="1"/>
  <c r="M350" i="1"/>
  <c r="M351" i="1"/>
  <c r="M352" i="1"/>
  <c r="M359" i="1"/>
  <c r="M358" i="1"/>
  <c r="M357" i="1"/>
  <c r="M355" i="1"/>
  <c r="M356" i="1"/>
  <c r="M360" i="1"/>
  <c r="M354" i="1"/>
  <c r="M465" i="1"/>
  <c r="M459" i="1"/>
  <c r="M458" i="1"/>
  <c r="M460" i="1"/>
  <c r="M461" i="1"/>
  <c r="M463" i="1"/>
  <c r="M462" i="1"/>
  <c r="M464" i="1"/>
  <c r="M630" i="1"/>
  <c r="M676" i="1"/>
  <c r="M675" i="1"/>
  <c r="M739" i="1"/>
  <c r="M68" i="1"/>
  <c r="M82" i="1"/>
  <c r="M63" i="1"/>
  <c r="M81" i="1"/>
  <c r="M79" i="1"/>
  <c r="M64" i="1"/>
  <c r="M65" i="1"/>
  <c r="M66" i="1"/>
  <c r="M67" i="1"/>
  <c r="M446" i="1"/>
  <c r="M340" i="1"/>
  <c r="M701" i="1"/>
  <c r="M513" i="1"/>
  <c r="M447" i="1"/>
  <c r="M448" i="1"/>
  <c r="M652" i="1"/>
  <c r="M700" i="1"/>
  <c r="M628" i="1"/>
  <c r="M699" i="1"/>
  <c r="M153" i="1"/>
  <c r="M148" i="1"/>
  <c r="M149" i="1"/>
  <c r="M698" i="1"/>
  <c r="M627" i="1"/>
  <c r="M151" i="1"/>
  <c r="M150" i="1"/>
  <c r="M147" i="1"/>
  <c r="M152" i="1"/>
  <c r="M629" i="1"/>
  <c r="M421" i="1"/>
  <c r="M419" i="1"/>
  <c r="M420" i="1"/>
  <c r="M565" i="1"/>
  <c r="M566" i="1"/>
  <c r="M415" i="1"/>
  <c r="M416" i="1"/>
  <c r="M527" i="1"/>
  <c r="M528" i="1"/>
  <c r="M532" i="1"/>
  <c r="M531" i="1"/>
  <c r="M529" i="1"/>
  <c r="M530" i="1"/>
  <c r="M533" i="1"/>
  <c r="M534" i="1"/>
  <c r="M181" i="1"/>
  <c r="M92" i="1"/>
  <c r="M90" i="1"/>
  <c r="M91" i="1"/>
  <c r="M93" i="1"/>
  <c r="M95" i="1"/>
  <c r="M180" i="1"/>
  <c r="M468" i="1"/>
  <c r="M467" i="1"/>
  <c r="M466" i="1"/>
  <c r="M523" i="1"/>
  <c r="M522" i="1"/>
  <c r="M525" i="1"/>
  <c r="M526" i="1"/>
  <c r="M524" i="1"/>
  <c r="M94" i="1"/>
  <c r="M87" i="1"/>
  <c r="M86" i="1"/>
  <c r="M88" i="1"/>
  <c r="M89" i="1"/>
  <c r="M289" i="1"/>
  <c r="M288" i="1"/>
  <c r="M712" i="1"/>
  <c r="M290" i="1"/>
  <c r="M48" i="1"/>
  <c r="M49" i="1"/>
  <c r="M51" i="1"/>
  <c r="M50" i="1"/>
  <c r="M47" i="1"/>
  <c r="M52" i="1"/>
  <c r="M54" i="1"/>
  <c r="M53" i="1"/>
  <c r="M55" i="1"/>
  <c r="M56" i="1"/>
  <c r="M22" i="1"/>
  <c r="M23" i="1"/>
  <c r="M24" i="1"/>
  <c r="M20" i="1"/>
  <c r="M25" i="1"/>
  <c r="M21" i="1"/>
  <c r="M110" i="1"/>
  <c r="M120" i="1"/>
  <c r="M121" i="1"/>
  <c r="M122" i="1"/>
  <c r="M282" i="1"/>
  <c r="M269" i="1"/>
  <c r="M270" i="1"/>
  <c r="M271" i="1"/>
  <c r="M272" i="1"/>
  <c r="M285" i="1"/>
  <c r="M283" i="1"/>
  <c r="M286" i="1"/>
  <c r="M284" i="1"/>
  <c r="M268" i="1"/>
  <c r="M281" i="1"/>
  <c r="M287" i="1"/>
  <c r="M274" i="1"/>
  <c r="M275" i="1"/>
  <c r="M276" i="1"/>
  <c r="M277" i="1"/>
  <c r="M278" i="1"/>
  <c r="M279" i="1"/>
  <c r="M280" i="1"/>
  <c r="M273" i="1"/>
  <c r="M606" i="1"/>
  <c r="M604" i="1"/>
  <c r="M605" i="1"/>
  <c r="M608" i="1"/>
  <c r="M610" i="1"/>
  <c r="M609" i="1"/>
  <c r="M607" i="1"/>
  <c r="M611" i="1"/>
  <c r="M612" i="1"/>
  <c r="M711" i="1"/>
  <c r="M724" i="1"/>
  <c r="M721" i="1"/>
  <c r="M722" i="1"/>
  <c r="M723" i="1"/>
  <c r="M730" i="1"/>
  <c r="M755" i="1"/>
  <c r="M756" i="1"/>
  <c r="M124" i="1"/>
  <c r="M119" i="1"/>
  <c r="M123" i="1"/>
  <c r="M115" i="1"/>
  <c r="M116" i="1"/>
  <c r="M118" i="1"/>
  <c r="M117" i="1"/>
  <c r="M112" i="1"/>
  <c r="M114" i="1"/>
  <c r="M113" i="1"/>
  <c r="M111" i="1"/>
  <c r="M720" i="1"/>
  <c r="M719" i="1"/>
  <c r="M740" i="1"/>
  <c r="M741" i="1"/>
  <c r="M46" i="1"/>
  <c r="M384" i="1"/>
  <c r="M622" i="1"/>
  <c r="M623" i="1"/>
  <c r="M476" i="1"/>
  <c r="M477" i="1"/>
  <c r="M481" i="1"/>
  <c r="M479" i="1"/>
  <c r="M480" i="1"/>
  <c r="M478" i="1"/>
  <c r="M475" i="1"/>
  <c r="M473" i="1"/>
  <c r="M474" i="1"/>
  <c r="M472" i="1"/>
  <c r="M471" i="1"/>
  <c r="M311" i="1"/>
  <c r="M304" i="1"/>
  <c r="M310" i="1"/>
  <c r="M624" i="1"/>
  <c r="M305" i="1"/>
  <c r="M306" i="1"/>
  <c r="M308" i="1"/>
  <c r="M618" i="1"/>
  <c r="M617" i="1"/>
  <c r="M621" i="1"/>
  <c r="M614" i="1"/>
  <c r="M620" i="1"/>
  <c r="M613" i="1"/>
  <c r="M619" i="1"/>
  <c r="M616" i="1"/>
  <c r="M137" i="1"/>
  <c r="M133" i="1"/>
  <c r="M134" i="1"/>
  <c r="M135" i="1"/>
  <c r="M136" i="1"/>
  <c r="M615" i="1"/>
  <c r="M27" i="1"/>
  <c r="M28" i="1"/>
  <c r="M138" i="1"/>
  <c r="M303" i="1"/>
  <c r="M307" i="1"/>
  <c r="M309" i="1"/>
  <c r="M625" i="1"/>
  <c r="M80" i="1"/>
  <c r="M713" i="1"/>
  <c r="M125" i="1"/>
  <c r="M434" i="1"/>
  <c r="M714" i="1"/>
  <c r="M39" i="1"/>
  <c r="M40" i="1"/>
  <c r="M716" i="1"/>
  <c r="M126" i="1"/>
  <c r="M294" i="1"/>
  <c r="M295" i="1"/>
  <c r="M296" i="1"/>
  <c r="M433" i="1"/>
  <c r="M293" i="1"/>
  <c r="M432" i="1"/>
  <c r="M715" i="1"/>
  <c r="M717" i="1"/>
  <c r="M127" i="1"/>
  <c r="M128" i="1"/>
  <c r="M129" i="1"/>
  <c r="M130" i="1"/>
  <c r="M132" i="1"/>
  <c r="M131" i="1"/>
  <c r="M301" i="1"/>
  <c r="M291" i="1"/>
  <c r="M292" i="1"/>
  <c r="M57" i="1"/>
  <c r="M26" i="1"/>
  <c r="M302" i="1"/>
  <c r="M299" i="1"/>
  <c r="M298" i="1"/>
  <c r="M300" i="1"/>
  <c r="M297" i="1"/>
  <c r="M140" i="1"/>
  <c r="M139" i="1"/>
  <c r="M326" i="1"/>
  <c r="M327" i="1"/>
  <c r="M320" i="1"/>
  <c r="M321" i="1"/>
  <c r="M322" i="1"/>
  <c r="M323" i="1"/>
  <c r="M325" i="1"/>
  <c r="M324" i="1"/>
  <c r="M328" i="1"/>
  <c r="M329" i="1"/>
  <c r="M330" i="1"/>
  <c r="M332" i="1"/>
  <c r="M333" i="1"/>
  <c r="M331" i="1"/>
  <c r="M313" i="1"/>
  <c r="M312" i="1"/>
  <c r="M335" i="1"/>
  <c r="M334" i="1"/>
  <c r="M314" i="1"/>
  <c r="M315" i="1"/>
  <c r="M319" i="1"/>
  <c r="M317" i="1"/>
  <c r="M318" i="1"/>
  <c r="M316" i="1"/>
  <c r="M439" i="1"/>
  <c r="M438" i="1"/>
  <c r="M440" i="1"/>
  <c r="M435" i="1"/>
  <c r="M436" i="1"/>
  <c r="M441" i="1"/>
  <c r="M437" i="1"/>
  <c r="M443" i="1"/>
  <c r="M442" i="1"/>
  <c r="M512" i="1"/>
  <c r="M626" i="1"/>
  <c r="M457" i="1"/>
  <c r="E8" i="1" l="1"/>
  <c r="L82" i="40"/>
</calcChain>
</file>

<file path=xl/sharedStrings.xml><?xml version="1.0" encoding="utf-8"?>
<sst xmlns="http://schemas.openxmlformats.org/spreadsheetml/2006/main" count="5819" uniqueCount="2182">
  <si>
    <t>Designação</t>
  </si>
  <si>
    <t>Marca Equipamento</t>
  </si>
  <si>
    <t>Modelo Equipamento</t>
  </si>
  <si>
    <t>Tiplogia</t>
  </si>
  <si>
    <t>Código SPMS</t>
  </si>
  <si>
    <t>Capacidade mínima de Impressão do consumível</t>
  </si>
  <si>
    <t>Quantidade</t>
  </si>
  <si>
    <t>Preço Base Unitário</t>
  </si>
  <si>
    <t>Preço Base Total</t>
  </si>
  <si>
    <t>Observações</t>
  </si>
  <si>
    <t>Sim</t>
  </si>
  <si>
    <t>Não</t>
  </si>
  <si>
    <t>HP</t>
  </si>
  <si>
    <t>Original</t>
  </si>
  <si>
    <t>LEXMARK</t>
  </si>
  <si>
    <t>OKI</t>
  </si>
  <si>
    <t>MS510</t>
  </si>
  <si>
    <t>RICOH</t>
  </si>
  <si>
    <t>XEROX</t>
  </si>
  <si>
    <t>BROTHER</t>
  </si>
  <si>
    <t>EPSON</t>
  </si>
  <si>
    <t>KIOCERA</t>
  </si>
  <si>
    <t>KONICA</t>
  </si>
  <si>
    <t>SAMSUNG</t>
  </si>
  <si>
    <t>DESKJET 460C / 5740 / 5745 / 6520 / 6540 / 6620 / 6840 / 6940 / 6980 / 9800 / D4160 / OFFICEJET 6205 / 6210 / 6215 / 6310 / 6315 / 7210 / 7310 / 7410 / H470 / K7100 / PHOTOSMART 325 / 335 / 375 / 385 / 422 / 428 / 475 / 2570 / 2575 / 2610 / 2710 / 7850 / 8050 / 8150 / 8450 / 8750 / C3170 / C3180 / C3190 / C4180 / C4190 / D5160 / PRO B8350 / PSC 1507 / 1510 / 1600 / 1610 / 2350 / 2355</t>
  </si>
  <si>
    <t>Photosmart 8450, 8150, 2710, 2610, 375 and 325 Printers, HP Officejet 7410, 7310 and 6210 Printers, HP PSC 235 All-in-One Printers, HP Deskjet 6840, 6540, 6520 and 5740 Printers</t>
  </si>
  <si>
    <t>MS331dn</t>
  </si>
  <si>
    <t>HL - L8250R</t>
  </si>
  <si>
    <t xml:space="preserve">ACULASER C2800 </t>
  </si>
  <si>
    <t>PP-100II</t>
  </si>
  <si>
    <t xml:space="preserve">HP 840C </t>
  </si>
  <si>
    <t>HP 916C</t>
  </si>
  <si>
    <t xml:space="preserve">HP LASERJET M1319G </t>
  </si>
  <si>
    <t>HP LAZERJET 1320-2015</t>
  </si>
  <si>
    <t xml:space="preserve">HP LAZERJET P1102 </t>
  </si>
  <si>
    <t>LASER LEXMARK Mod. MS310DN</t>
  </si>
  <si>
    <t>CANON</t>
  </si>
  <si>
    <t>IMAGERUNNER ADVANCE 4525I</t>
  </si>
  <si>
    <t>IMAGERUNNER ADVANCE C5540I</t>
  </si>
  <si>
    <t>IMAGERUNNER ADVANCE C355I</t>
  </si>
  <si>
    <t>ISENSYS LBP 613 CDW</t>
  </si>
  <si>
    <t>LPB 251dw</t>
  </si>
  <si>
    <t>Discproducer PP-100III</t>
  </si>
  <si>
    <t>AL-M200</t>
  </si>
  <si>
    <t>DESKJET/OFFICEJET/INKJET</t>
  </si>
  <si>
    <t>OFFICEJET PRO X451 DW</t>
  </si>
  <si>
    <t>DESIGNJET T 520</t>
  </si>
  <si>
    <t>P3015</t>
  </si>
  <si>
    <t>P2015</t>
  </si>
  <si>
    <t>LASERJET P1102</t>
  </si>
  <si>
    <t>LASERJET 3310</t>
  </si>
  <si>
    <t>P2055</t>
  </si>
  <si>
    <t>LASERJET M404 DN</t>
  </si>
  <si>
    <t>PRO M402N</t>
  </si>
  <si>
    <t>LASERJET M 402 DN</t>
  </si>
  <si>
    <t>LASERJET M 506 DN</t>
  </si>
  <si>
    <t>LASERJET PRO 400 / M 401 DN</t>
  </si>
  <si>
    <t>LASERJET PRO MFP 125</t>
  </si>
  <si>
    <t>M5521CDN</t>
  </si>
  <si>
    <t>M2540DN</t>
  </si>
  <si>
    <t>C746DN</t>
  </si>
  <si>
    <t>C534N</t>
  </si>
  <si>
    <t>CX310DN</t>
  </si>
  <si>
    <t>MS521DN</t>
  </si>
  <si>
    <t>MC363DN</t>
  </si>
  <si>
    <t>B840DN</t>
  </si>
  <si>
    <t>MB492DN</t>
  </si>
  <si>
    <t>ZEBRA</t>
  </si>
  <si>
    <t>ZXP7</t>
  </si>
  <si>
    <t>CHLO</t>
  </si>
  <si>
    <t>TINTEIRO PRETO (545) P/ CANON MG2550S</t>
  </si>
  <si>
    <t>CANON MG2550S</t>
  </si>
  <si>
    <t>TINTEIRO COR (546) P/ CANON MG2550S</t>
  </si>
  <si>
    <t>TONER (FX10) P/ FAX CANON L100</t>
  </si>
  <si>
    <t>CANON L100</t>
  </si>
  <si>
    <t>TINTEIRO P/ IMPRESSORA EPSON PP100 (AMARELO)</t>
  </si>
  <si>
    <t>EPSON PP100</t>
  </si>
  <si>
    <t>TINTEIRO P/ IMPRESSORA EPSON PP100 (CYAN)</t>
  </si>
  <si>
    <t>TINTEIRO P/ IMPRESSORA EPSON PP100 (CYAN CLARO)</t>
  </si>
  <si>
    <t>TINTEIRO P/ IMPRESSORA EPSON PP100 (MAGENTA)</t>
  </si>
  <si>
    <t>TINTEIRO P/ IMPRESSORA EPSON PP100 (MAGENTA CLARO)</t>
  </si>
  <si>
    <t>TINTEIRO P/ IMPRESSORA EPSON PP100 (PRETO)</t>
  </si>
  <si>
    <t>TONER P/ IMPRESSORA HP LASERJET PRO M252N CYAN (401A)</t>
  </si>
  <si>
    <t>LASERJET PRO M252N</t>
  </si>
  <si>
    <t>TINTEIRO P/IMPRESSORA HP DESKJECT 2630 /304 XL PRETO</t>
  </si>
  <si>
    <t>DESKJECT 2630</t>
  </si>
  <si>
    <t>TONER (CF226A) P/IMPRESSORA HP LASERJET PRO M402DN</t>
  </si>
  <si>
    <t>LASERJET PRO M402DN</t>
  </si>
  <si>
    <t>TONER (CF283A) P/ IMPRESSORA HP LASER JET PRO M201N/M201DW</t>
  </si>
  <si>
    <t>LASER JET PRO M201N/M201DW</t>
  </si>
  <si>
    <t>TONER P/ IMPRESSORA HP P1505</t>
  </si>
  <si>
    <t>HP P1505</t>
  </si>
  <si>
    <t>TONER PRETO P/ IMPRESSORA HP CM1312 / CP1215 / CP1515</t>
  </si>
  <si>
    <t>HP CM1312 / CP1215 / CP1515</t>
  </si>
  <si>
    <t>TONER AMARELO P/ IMPRESSORA HP CM1312 / CP1215 / CP1515</t>
  </si>
  <si>
    <t>TONER MAGENTA P/ IMPRESSORA HP CM1312 / CP1215 / CP1515</t>
  </si>
  <si>
    <t>TONER P/ IMPRESSORA HP 1010/1012/1015/1020/1022 (Q26112A) PRETO</t>
  </si>
  <si>
    <t>HP 1010/1012/1015/1020/1022</t>
  </si>
  <si>
    <t>TONER AZUL P/ IMPRESSORA HP CM1312 / CP1215 / CP1515</t>
  </si>
  <si>
    <t>TONER (CF280A) P/IMPRESSORA HP LASERJET PRO 400 MFP M425DN</t>
  </si>
  <si>
    <t>LASERJET PRO 400 MFP M425DN</t>
  </si>
  <si>
    <t>TINTEIRO HP 343 CORES</t>
  </si>
  <si>
    <t xml:space="preserve">HP 343 </t>
  </si>
  <si>
    <t>TINTEIRO HP 338</t>
  </si>
  <si>
    <t xml:space="preserve"> HP 338</t>
  </si>
  <si>
    <t xml:space="preserve">TINTEIRO HP 932 XL </t>
  </si>
  <si>
    <t xml:space="preserve">HP 932 XL </t>
  </si>
  <si>
    <t>TINTEIRO HP 933XL CORES (HP959)</t>
  </si>
  <si>
    <t xml:space="preserve">HP 933XL </t>
  </si>
  <si>
    <t>TONER P/ IMPRESSORA HP COLOR LASER JET PRO M254 PRETO</t>
  </si>
  <si>
    <t>TONER P/ IMPRESSORA HP LASERJET PRO M252N AMARELO (402A)</t>
  </si>
  <si>
    <t xml:space="preserve">M252N </t>
  </si>
  <si>
    <t>TONER P/ IMPRESSORA HP LASERJET PRO M252N MAGENTA (403A)</t>
  </si>
  <si>
    <t>TONER P/ IMPRESSORA HP LASERJET PRO M252N PRETO (400A)</t>
  </si>
  <si>
    <t>TONER P/ IMPRESSORA HP LASER JET PRO M102W (CF217A)</t>
  </si>
  <si>
    <t xml:space="preserve"> M102W </t>
  </si>
  <si>
    <t>TONER P/ IMPRESSORA HP LASERJET P2015</t>
  </si>
  <si>
    <t xml:space="preserve"> P2015</t>
  </si>
  <si>
    <t>TONER PRETO P/ IMPRESSORA HP P2055</t>
  </si>
  <si>
    <t>TONER P/ IMPRESSORA HP COLOR LASER JET PRO M254 AMARELO</t>
  </si>
  <si>
    <t xml:space="preserve">PRO M254 </t>
  </si>
  <si>
    <t>TONER P/ IMPRESSORA HP COLOR LASER JET PRO M254 AZUL CYAN</t>
  </si>
  <si>
    <t>TONER P/ IMPRESSORA HP COLOR LASER JET PRO M254 MANGENTA</t>
  </si>
  <si>
    <t>TONER P/ IMPRESSORA HP LASERJET PRO M203DN (CF230A)</t>
  </si>
  <si>
    <t>TINTEIRO IMPRESSORA HP DESKJET F 4280 (CC641-300XL) PRETO</t>
  </si>
  <si>
    <t xml:space="preserve">DESKJET F 4280 </t>
  </si>
  <si>
    <t>TINTEIRO IMPRESSORA HP DESKJET F 4280 (CC644EE - 300XL) COR</t>
  </si>
  <si>
    <t>DESKJET F 4280</t>
  </si>
  <si>
    <t>TONER P/ IMPRESSORA UTAX MF P-3527 (PK-1010) PRETO</t>
  </si>
  <si>
    <t>TONER P/ IMPRESSORA UTAX P-4020 (PK-1011) PRETO</t>
  </si>
  <si>
    <t>UTAX P-4020</t>
  </si>
  <si>
    <t>TONER (TK-1130) P/IMPRESSORA KYOCERA MFP M2530DN</t>
  </si>
  <si>
    <t>MFP M2530DN</t>
  </si>
  <si>
    <t>TONER (TK-5230K) P/IMPRESSORA KYOCERA ECOSYS M5521CDN (PRETO)</t>
  </si>
  <si>
    <t>ECOSYS M5521CDN</t>
  </si>
  <si>
    <t>TONER (TK-5230M) P/IMPRESSORA KYOCERA ECOSYS M5521CDN (MAGENTA)</t>
  </si>
  <si>
    <t>TONER (TK-5230C) P/IMPRESSORA KYOCERA ECOSYS M5521CDN (CYAN)</t>
  </si>
  <si>
    <t>TONER (TK-5230Y) P/IMPRESSORA KYOCERA ECOSYS M5521CDN (AMARELO)</t>
  </si>
  <si>
    <t>TONER (TK-1150) P/IMPRESSORA KYOCERA ECOSYS P2235DN</t>
  </si>
  <si>
    <t>ECOSYS P2235DN</t>
  </si>
  <si>
    <t>TAMBOR IMAGEM P/ IMPRESSORA KYOCERA ECOSYS M2530DN (DK170)</t>
  </si>
  <si>
    <t>ECOSYS DK170</t>
  </si>
  <si>
    <t>TAMBOR IMAGEM P/ IMPRESSORA KYOCERA ECOSYS M5521CDN (DK5230)</t>
  </si>
  <si>
    <t>TAMBOR IMAGEM P/ IMP KYOCERA ECOSYS P2235DN/UTAX P-4020DN/UTAX P-3527W MFP</t>
  </si>
  <si>
    <t>ECOSYS P2235DN/UTAX P-4020DN/UTAX P-3527W MFP</t>
  </si>
  <si>
    <t>TONER (ACF0050) P/IMPRESSORA KONICA MINOLTA 4000I/4020I</t>
  </si>
  <si>
    <t xml:space="preserve"> 4000I/4020I</t>
  </si>
  <si>
    <t>TAMBOR IMAGEM P/IMP KONICA MINOLTA 4000I/4020I/5000I/5020I</t>
  </si>
  <si>
    <t>4000I/4020I/5000I/5020I</t>
  </si>
  <si>
    <t>TONER (56F2U00) IMPRESSORA LEXMARK MS521</t>
  </si>
  <si>
    <t>LEXMARK MS521</t>
  </si>
  <si>
    <t>TONER (502HE) IMPRESSORA LEXMARK MS310/312/410/510/610</t>
  </si>
  <si>
    <t>LEXMARK MS310/312/410/510/610</t>
  </si>
  <si>
    <t>TONER (522HE) IMPRESSORA LEXMARK MS710/711/810/811/812</t>
  </si>
  <si>
    <t>LEXMARK MS710/711/810/811/812</t>
  </si>
  <si>
    <t>TONER (602HE) IMPRESSORA LEXMARK MX310/410/510/511/611</t>
  </si>
  <si>
    <t>LEXMARK MX310/410/510/511/611</t>
  </si>
  <si>
    <t>TONER (56F2H0E) IMPRESSORA LEXMARK MS321/421/521/621</t>
  </si>
  <si>
    <t>LEXMARK MS321/421/521/621</t>
  </si>
  <si>
    <t>TONER (55B2H0E) IMPRESSORA LEXMARK MS/MX331ADN/MS331D</t>
  </si>
  <si>
    <t>MS/MX331ADN/MS331D</t>
  </si>
  <si>
    <t>TONER P/IMPRESSORA MFP OKI MC363DN PRETO</t>
  </si>
  <si>
    <t xml:space="preserve">OKI MC363DN </t>
  </si>
  <si>
    <t>TONER P/IMPRESSORA MFP OKI MC363DN CYAN</t>
  </si>
  <si>
    <t>OKI MC363DN</t>
  </si>
  <si>
    <t>TONER P/IMPRESSORA MFP OKI MC363DN MAGENTA</t>
  </si>
  <si>
    <t>TONER P/IMPRESSORA MFP OKI MC363DN AMARELO</t>
  </si>
  <si>
    <t>TONER P/ IMPRESSORA OKI B412/B432/B562/MB472/MB492/MB562</t>
  </si>
  <si>
    <t>OKI B412/B432/B562/MB472/MB492/MB562</t>
  </si>
  <si>
    <t>TAMBOR IMAGEM P/IMPRESSORA OKI B412/B432/B562/MB472/MB492/MB562</t>
  </si>
  <si>
    <t>TAMBOR IMAGEM P/ IMPRESSORA OKI MC363DN</t>
  </si>
  <si>
    <t>TONER PRETO (MLT-D1052L) P/IMPRESSORA SAMSUNG ML-2580N</t>
  </si>
  <si>
    <t>SAMSUNG ML-2580N</t>
  </si>
  <si>
    <t>TONER P/ IMPRESSORA SAMSUNG CLP680 CYAN</t>
  </si>
  <si>
    <t>CLP680</t>
  </si>
  <si>
    <t>TONER P/ IMPRESSORA SAMSUNG CLP680 MAGENTA</t>
  </si>
  <si>
    <t>TONER P/IMPRESSORA SAMSUNG LASER PRINT XPRESS C430 (MAGENTA)</t>
  </si>
  <si>
    <t>C430</t>
  </si>
  <si>
    <t>TONER P/IMPRESSORA SAMSUNG LASER PRINT XPRESS C430 (AZUL)</t>
  </si>
  <si>
    <t>TONER P/IMPRESSORA SAMSUNG LASER PRINT XPRESS C430 (AMARELO)</t>
  </si>
  <si>
    <t>TONER P/IMPRESSORA SAMSUNG LASER PRINT XPRESS C430 (PRETO)</t>
  </si>
  <si>
    <t>FITA CARBONO 83MMX450M IMPRESSORA ZEBRA S300/Z4M</t>
  </si>
  <si>
    <t>S300/Z4M</t>
  </si>
  <si>
    <t>FITA CARBONO 110MM IMPRESSORA ZEBRA S300</t>
  </si>
  <si>
    <t>S300</t>
  </si>
  <si>
    <t>FITA MAQUINA SELAR EPSON ERC-28 (ESTERILIZAÇAO HSFX )</t>
  </si>
  <si>
    <t>EPSON ERC-28</t>
  </si>
  <si>
    <t>FITA P/ EPSON HX20/K2206</t>
  </si>
  <si>
    <t xml:space="preserve"> HX20/K2206</t>
  </si>
  <si>
    <t>FITA COR P/IMPRESSORA CARTOES ZEBRA ZXP SERIE 1</t>
  </si>
  <si>
    <t>ZEBRA ZXP SERIE 1</t>
  </si>
  <si>
    <t>FITA CARBONO 110 MM X 74 M IMPRESSORA ZEBRA GK420T</t>
  </si>
  <si>
    <t>FITA CARBONO 60MMX450M IMPRESSORA ZEBRA S300/Z4M</t>
  </si>
  <si>
    <t>FITA CARBONO 110MMX450M IMPRESSORA ZEBRA</t>
  </si>
  <si>
    <t>GK420T</t>
  </si>
  <si>
    <t>AL M300II</t>
  </si>
  <si>
    <t>WF 6590 DWF</t>
  </si>
  <si>
    <t>2055 DN</t>
  </si>
  <si>
    <t>CE285A</t>
  </si>
  <si>
    <t>Q2612A</t>
  </si>
  <si>
    <t>1566/1606</t>
  </si>
  <si>
    <t>CE278A</t>
  </si>
  <si>
    <t>53A</t>
  </si>
  <si>
    <t>Laserjet Pro M127</t>
  </si>
  <si>
    <t>CF283A</t>
  </si>
  <si>
    <t>laserjet Pro 400 MFP M426DN</t>
  </si>
  <si>
    <t>CF226A</t>
  </si>
  <si>
    <t>CB435A</t>
  </si>
  <si>
    <t>Laserjet P2015</t>
  </si>
  <si>
    <t>Laserjet P2055 DN</t>
  </si>
  <si>
    <t>Laserjet 1010</t>
  </si>
  <si>
    <t>C4050I/C3350I</t>
  </si>
  <si>
    <t>C360i/C300i/C250i</t>
  </si>
  <si>
    <t>B432/MB492</t>
  </si>
  <si>
    <t>B432/B512/MB492/MB562</t>
  </si>
  <si>
    <t>C400V DNM</t>
  </si>
  <si>
    <t>P2500W</t>
  </si>
  <si>
    <t>HP PRO 300/400</t>
  </si>
  <si>
    <t>HP PRO M254</t>
  </si>
  <si>
    <t>HP P3010/3015</t>
  </si>
  <si>
    <t>HP PRO M402</t>
  </si>
  <si>
    <t>HP 2015 DN</t>
  </si>
  <si>
    <t>HP PRO M404</t>
  </si>
  <si>
    <t>HP PRO 400/M401</t>
  </si>
  <si>
    <t>HP PRO 452</t>
  </si>
  <si>
    <t>HP PRO M545</t>
  </si>
  <si>
    <t xml:space="preserve">HP </t>
  </si>
  <si>
    <t>HP DESKJET 6122</t>
  </si>
  <si>
    <t>HP 5652</t>
  </si>
  <si>
    <t>HP DESKJET 6940</t>
  </si>
  <si>
    <t>HP 1010</t>
  </si>
  <si>
    <t>HP DESKJET D4260</t>
  </si>
  <si>
    <t xml:space="preserve"> LJ CP1215</t>
  </si>
  <si>
    <t>MS 310D</t>
  </si>
  <si>
    <t>IPOC</t>
  </si>
  <si>
    <t xml:space="preserve">IMPRESSORA BROTHER HL-L2370 DN </t>
  </si>
  <si>
    <t>ORIGINAL</t>
  </si>
  <si>
    <t>IMP. BROTHER HL-L2370DN (TN2420)</t>
  </si>
  <si>
    <t>IMP. BROTHER HL-L2360DN (DR2300)</t>
  </si>
  <si>
    <t xml:space="preserve">IMP. BROTHER HL-L2360DN - TN2320 </t>
  </si>
  <si>
    <t>IMP BROTHER P-TOUCH 2700 24MM X 8MT</t>
  </si>
  <si>
    <t xml:space="preserve">IMP BROTHER P-TOUCH 2700 12MM X 8MT </t>
  </si>
  <si>
    <t>IMP. CANON  CL-41</t>
  </si>
  <si>
    <t>IMP. CANON PG-40</t>
  </si>
  <si>
    <t>IMP. CANON TS8350</t>
  </si>
  <si>
    <t>IMP. CANON MP270</t>
  </si>
  <si>
    <t>IMP. CANON MG 36505</t>
  </si>
  <si>
    <t>original</t>
  </si>
  <si>
    <t>IMP EPSON XP 29XL</t>
  </si>
  <si>
    <t xml:space="preserve">IMP.EPSON T16XL </t>
  </si>
  <si>
    <t xml:space="preserve">IMP. EPSON T16XL </t>
  </si>
  <si>
    <t xml:space="preserve">IMP EPSON PP-100/PP-50 </t>
  </si>
  <si>
    <t>IMP EPSON PP-100/PP-50</t>
  </si>
  <si>
    <t xml:space="preserve">HP LASERJET M506 PRETO - CF287X </t>
  </si>
  <si>
    <t>IMP. HP 3632 CORES</t>
  </si>
  <si>
    <t xml:space="preserve">TINTEIRO HP PRETO N. 10 - C4844AE  (IMP. E PLOTER) </t>
  </si>
  <si>
    <t>HP2510  PRETO N. 301XL</t>
  </si>
  <si>
    <t>HP 7110 OFFICEJET</t>
  </si>
  <si>
    <t>HP COLOR LASERJET PRO M252</t>
  </si>
  <si>
    <t>HP COLOR LASERJET PRO M253</t>
  </si>
  <si>
    <t>HP COLOR LASERJET PRO M254</t>
  </si>
  <si>
    <t>HP COLOR LASERJET PRO M255</t>
  </si>
  <si>
    <t>HP LASERJET PRO 404</t>
  </si>
  <si>
    <t>HP REF. CE278A</t>
  </si>
  <si>
    <t>IMP. LASERJET CP 5225</t>
  </si>
  <si>
    <t xml:space="preserve"> IMP. LASERJET PRO M 201N</t>
  </si>
  <si>
    <t xml:space="preserve">IMP. LEXMARK E352DN </t>
  </si>
  <si>
    <t>IMP.LEXMARK MS810DN</t>
  </si>
  <si>
    <t xml:space="preserve">IMPRESSORA LEXMARK SERIE 300,400,500,600 </t>
  </si>
  <si>
    <t xml:space="preserve">IMPRESSORA LEXMARK CS510 </t>
  </si>
  <si>
    <t>IMPRESSORA LEXMARK CS511</t>
  </si>
  <si>
    <t>IMPRESSORA LEXMARK SERIE 800</t>
  </si>
  <si>
    <t>IMPRESSORA LEXMARK CS510</t>
  </si>
  <si>
    <t>IMP.LEXMARK MS310D</t>
  </si>
  <si>
    <t xml:space="preserve">IMP. RICOH AFICIO SP C310E </t>
  </si>
  <si>
    <t xml:space="preserve">IMP.SAMSUNG ML-2160 </t>
  </si>
  <si>
    <t>IMP. ZEBRA GK 420</t>
  </si>
  <si>
    <t xml:space="preserve">FITA CARBONO P/IMP. ZEBRA </t>
  </si>
  <si>
    <t>PANTUM P250W</t>
  </si>
  <si>
    <t>MIELE G7898</t>
  </si>
  <si>
    <t>LASERJET P3015DN</t>
  </si>
  <si>
    <t>LASERJET CE278A</t>
  </si>
  <si>
    <t>IPOL</t>
  </si>
  <si>
    <t>LASERJET PRO 400</t>
  </si>
  <si>
    <t>B412</t>
  </si>
  <si>
    <t>ULSM</t>
  </si>
  <si>
    <t>719H</t>
  </si>
  <si>
    <t>051H</t>
  </si>
  <si>
    <t>057H</t>
  </si>
  <si>
    <t>052H</t>
  </si>
  <si>
    <t>055H</t>
  </si>
  <si>
    <t>S020447</t>
  </si>
  <si>
    <t>S020452</t>
  </si>
  <si>
    <t>S020448</t>
  </si>
  <si>
    <t>S020449</t>
  </si>
  <si>
    <t>S020450</t>
  </si>
  <si>
    <t>S020451</t>
  </si>
  <si>
    <t>S020476</t>
  </si>
  <si>
    <t>951XL C</t>
  </si>
  <si>
    <t>CE505X</t>
  </si>
  <si>
    <t>TK-3160</t>
  </si>
  <si>
    <t>51F2H00</t>
  </si>
  <si>
    <t>50F0Z00</t>
  </si>
  <si>
    <t>56F2X0E</t>
  </si>
  <si>
    <t>56F0Z00</t>
  </si>
  <si>
    <t>HL 5340 BL</t>
  </si>
  <si>
    <t>HL 5450 DN</t>
  </si>
  <si>
    <t>HL 5240 L</t>
  </si>
  <si>
    <t>PP100 II</t>
  </si>
  <si>
    <t>26 ml</t>
  </si>
  <si>
    <t>SO 15337</t>
  </si>
  <si>
    <t>00/74320448</t>
  </si>
  <si>
    <t>P1102</t>
  </si>
  <si>
    <t>40 ml</t>
  </si>
  <si>
    <t>39 ml</t>
  </si>
  <si>
    <t>1022N</t>
  </si>
  <si>
    <t>S4M ZPL</t>
  </si>
  <si>
    <t xml:space="preserve"> ETP-20</t>
  </si>
  <si>
    <t>370EP</t>
  </si>
  <si>
    <t>750-2020</t>
  </si>
  <si>
    <t xml:space="preserve">Alta Capacidade 
</t>
  </si>
  <si>
    <t>Entidade</t>
  </si>
  <si>
    <t>CIM0009</t>
  </si>
  <si>
    <t>CIM0011</t>
  </si>
  <si>
    <t>CIM0014</t>
  </si>
  <si>
    <t>CIM0016</t>
  </si>
  <si>
    <t>CIM0018</t>
  </si>
  <si>
    <t>CIM0019</t>
  </si>
  <si>
    <t>CIM0020</t>
  </si>
  <si>
    <t>CIM0021</t>
  </si>
  <si>
    <t>CIM0022</t>
  </si>
  <si>
    <t>CIM0023</t>
  </si>
  <si>
    <t>CIM0024</t>
  </si>
  <si>
    <t>CIM0025</t>
  </si>
  <si>
    <t>CIM0026</t>
  </si>
  <si>
    <t>CIM0223</t>
  </si>
  <si>
    <t>CIM0224</t>
  </si>
  <si>
    <t>CIM0233</t>
  </si>
  <si>
    <t>CIM0238</t>
  </si>
  <si>
    <t>CIM0239</t>
  </si>
  <si>
    <t>CIM0240</t>
  </si>
  <si>
    <t>CIM0244</t>
  </si>
  <si>
    <t>CIM0245</t>
  </si>
  <si>
    <t>CIM0246</t>
  </si>
  <si>
    <t>CIM0247</t>
  </si>
  <si>
    <t>CIM0249</t>
  </si>
  <si>
    <t>CIM0256</t>
  </si>
  <si>
    <t>CIM0257</t>
  </si>
  <si>
    <t>CIM0258</t>
  </si>
  <si>
    <t>CIM0259</t>
  </si>
  <si>
    <t>CIM0262</t>
  </si>
  <si>
    <t>CIM0263</t>
  </si>
  <si>
    <t>CIM0264</t>
  </si>
  <si>
    <t>CIM0265</t>
  </si>
  <si>
    <t>CIM0266</t>
  </si>
  <si>
    <t>CIM0267</t>
  </si>
  <si>
    <t>CIM0268</t>
  </si>
  <si>
    <t>CIM0273</t>
  </si>
  <si>
    <t>CIM0283</t>
  </si>
  <si>
    <t>CIM0284</t>
  </si>
  <si>
    <t>CIM0317</t>
  </si>
  <si>
    <t>CIM0349</t>
  </si>
  <si>
    <t>CIM0356</t>
  </si>
  <si>
    <t>CIM0357</t>
  </si>
  <si>
    <t>CIM0358</t>
  </si>
  <si>
    <t>CIM0373</t>
  </si>
  <si>
    <t>CIM0374</t>
  </si>
  <si>
    <t>CIM0376</t>
  </si>
  <si>
    <t>CIM0385</t>
  </si>
  <si>
    <t>CIM0390</t>
  </si>
  <si>
    <t>CIM0418</t>
  </si>
  <si>
    <t>CIM0428</t>
  </si>
  <si>
    <t>CIM0429</t>
  </si>
  <si>
    <t>CIM0431</t>
  </si>
  <si>
    <t>CIM0432</t>
  </si>
  <si>
    <t>CIM0434</t>
  </si>
  <si>
    <t>CIM0437</t>
  </si>
  <si>
    <t>CIM0438</t>
  </si>
  <si>
    <t>CIM0439</t>
  </si>
  <si>
    <t>CIM0440</t>
  </si>
  <si>
    <t>CIM0441</t>
  </si>
  <si>
    <t>CIM0442</t>
  </si>
  <si>
    <t>CIM0443</t>
  </si>
  <si>
    <t>CIM0444</t>
  </si>
  <si>
    <t>CIM0445</t>
  </si>
  <si>
    <t>CIM0447</t>
  </si>
  <si>
    <t>CIM0448</t>
  </si>
  <si>
    <t>CIM0449</t>
  </si>
  <si>
    <t>CIM0450</t>
  </si>
  <si>
    <t>CIM0451</t>
  </si>
  <si>
    <t>CIM0452</t>
  </si>
  <si>
    <t>CIM0453</t>
  </si>
  <si>
    <t>CIM0454</t>
  </si>
  <si>
    <t>CIM0455</t>
  </si>
  <si>
    <t>CIM0456</t>
  </si>
  <si>
    <t>CIM0464</t>
  </si>
  <si>
    <t>CIM0481</t>
  </si>
  <si>
    <t>CIM0482</t>
  </si>
  <si>
    <t>CIM0483</t>
  </si>
  <si>
    <t>CIM0484</t>
  </si>
  <si>
    <t>CIM0486</t>
  </si>
  <si>
    <t>CIM0487</t>
  </si>
  <si>
    <t>CIM0488</t>
  </si>
  <si>
    <t>CIM0491</t>
  </si>
  <si>
    <t>CIM0497</t>
  </si>
  <si>
    <t>CIM0500</t>
  </si>
  <si>
    <t>CIM0501</t>
  </si>
  <si>
    <t>CIM0502</t>
  </si>
  <si>
    <t>CIM0503</t>
  </si>
  <si>
    <t>CIM0504</t>
  </si>
  <si>
    <t>CIM0505</t>
  </si>
  <si>
    <t>CIM0701</t>
  </si>
  <si>
    <t>CIM0702</t>
  </si>
  <si>
    <t>CIM0703</t>
  </si>
  <si>
    <t>CIM0704</t>
  </si>
  <si>
    <t>CIM0705</t>
  </si>
  <si>
    <t>CIM0706</t>
  </si>
  <si>
    <t>CIM0707</t>
  </si>
  <si>
    <t>CIM0708</t>
  </si>
  <si>
    <t>CIM0709</t>
  </si>
  <si>
    <t>CIM0710</t>
  </si>
  <si>
    <t>CIM0711</t>
  </si>
  <si>
    <t>CIM0712</t>
  </si>
  <si>
    <t>CIM0713</t>
  </si>
  <si>
    <t>CIM0714</t>
  </si>
  <si>
    <t>CIM0715</t>
  </si>
  <si>
    <t>CIM0716</t>
  </si>
  <si>
    <t>CIM0717</t>
  </si>
  <si>
    <t>CIM0718</t>
  </si>
  <si>
    <t>CIM0719</t>
  </si>
  <si>
    <t>CIM0720</t>
  </si>
  <si>
    <t>CIM0721</t>
  </si>
  <si>
    <t>CIM0722</t>
  </si>
  <si>
    <t>CIM0723</t>
  </si>
  <si>
    <t>CIM0724</t>
  </si>
  <si>
    <t>CIM0725</t>
  </si>
  <si>
    <t>CIM0726</t>
  </si>
  <si>
    <t>CIM0727</t>
  </si>
  <si>
    <t>CIM0728</t>
  </si>
  <si>
    <t>CIM0729</t>
  </si>
  <si>
    <t>CIM0730</t>
  </si>
  <si>
    <t>CIM0731</t>
  </si>
  <si>
    <t>CIM0732</t>
  </si>
  <si>
    <t>CIM0733</t>
  </si>
  <si>
    <t>CIM0734</t>
  </si>
  <si>
    <t>CIM0735</t>
  </si>
  <si>
    <t>CIM0736</t>
  </si>
  <si>
    <t>CIM0737</t>
  </si>
  <si>
    <t>CIM0738</t>
  </si>
  <si>
    <t>CIM0739</t>
  </si>
  <si>
    <t>CIM0740</t>
  </si>
  <si>
    <t>CIM0741</t>
  </si>
  <si>
    <t>CIM0742</t>
  </si>
  <si>
    <t>CIM0743</t>
  </si>
  <si>
    <t>CIM0744</t>
  </si>
  <si>
    <t>CIM0745</t>
  </si>
  <si>
    <t>CIM0746</t>
  </si>
  <si>
    <t>CIM0747</t>
  </si>
  <si>
    <t>CIM0748</t>
  </si>
  <si>
    <t>CIM0749</t>
  </si>
  <si>
    <t>CIM0750</t>
  </si>
  <si>
    <t>CIM0751</t>
  </si>
  <si>
    <t>CIM0752</t>
  </si>
  <si>
    <t>CIM0753</t>
  </si>
  <si>
    <t>CIM0754</t>
  </si>
  <si>
    <t>CIM0755</t>
  </si>
  <si>
    <t>CIM0756</t>
  </si>
  <si>
    <t>CIM0757</t>
  </si>
  <si>
    <t>CIM0758</t>
  </si>
  <si>
    <t>CIM0759</t>
  </si>
  <si>
    <t>CIM0760</t>
  </si>
  <si>
    <t>CIM0761</t>
  </si>
  <si>
    <t>CIM0762</t>
  </si>
  <si>
    <t>CIM0763</t>
  </si>
  <si>
    <t>CIM0764</t>
  </si>
  <si>
    <t>CIM0765</t>
  </si>
  <si>
    <t>CIM0766</t>
  </si>
  <si>
    <t>CIM0767</t>
  </si>
  <si>
    <t>CIM0768</t>
  </si>
  <si>
    <t>CIM0769</t>
  </si>
  <si>
    <t>CIM0770</t>
  </si>
  <si>
    <t>CIM0771</t>
  </si>
  <si>
    <t>CIM0772</t>
  </si>
  <si>
    <t>CIM0773</t>
  </si>
  <si>
    <t>CIM0774</t>
  </si>
  <si>
    <t>CIM0775</t>
  </si>
  <si>
    <t>CIM0776</t>
  </si>
  <si>
    <t>CIM0777</t>
  </si>
  <si>
    <t>CIM0778</t>
  </si>
  <si>
    <t>CIM0779</t>
  </si>
  <si>
    <t>CIM0780</t>
  </si>
  <si>
    <t>CIM0781</t>
  </si>
  <si>
    <t>CIM0782</t>
  </si>
  <si>
    <t>CIM0783</t>
  </si>
  <si>
    <t>CIM0786</t>
  </si>
  <si>
    <t>CIM0787</t>
  </si>
  <si>
    <t>CIM0788</t>
  </si>
  <si>
    <t>CIM0793</t>
  </si>
  <si>
    <t>CIM0794</t>
  </si>
  <si>
    <t>CIM0795</t>
  </si>
  <si>
    <t>CIM0797</t>
  </si>
  <si>
    <t>CIM0801</t>
  </si>
  <si>
    <t>CIM0802</t>
  </si>
  <si>
    <t>CIM0803</t>
  </si>
  <si>
    <t>CIM0804</t>
  </si>
  <si>
    <t>CIM0805</t>
  </si>
  <si>
    <t>CIM0806</t>
  </si>
  <si>
    <t>CIM0807</t>
  </si>
  <si>
    <t>CIM0808</t>
  </si>
  <si>
    <t>CIM0809</t>
  </si>
  <si>
    <t>CIM0812</t>
  </si>
  <si>
    <t>CIM0813</t>
  </si>
  <si>
    <t>CIM0815</t>
  </si>
  <si>
    <t>CIM0816</t>
  </si>
  <si>
    <t>CIM0817</t>
  </si>
  <si>
    <t>CIM0818</t>
  </si>
  <si>
    <t>CIM0819</t>
  </si>
  <si>
    <t>CIM0820</t>
  </si>
  <si>
    <t>CIM0821</t>
  </si>
  <si>
    <t>CIM0822</t>
  </si>
  <si>
    <t>CIM0823</t>
  </si>
  <si>
    <t>CIM0824</t>
  </si>
  <si>
    <t>CIM0825</t>
  </si>
  <si>
    <t>CIM0826</t>
  </si>
  <si>
    <t>CIM0827</t>
  </si>
  <si>
    <t>CIM0828</t>
  </si>
  <si>
    <t>CIM0829</t>
  </si>
  <si>
    <t>CIM0830</t>
  </si>
  <si>
    <t>CIM0831</t>
  </si>
  <si>
    <t>CIM0832</t>
  </si>
  <si>
    <t>CIM0833</t>
  </si>
  <si>
    <t>CIM0834</t>
  </si>
  <si>
    <t>CIM0835</t>
  </si>
  <si>
    <t>CIM0836</t>
  </si>
  <si>
    <t>CIM0837</t>
  </si>
  <si>
    <t>CIM0838</t>
  </si>
  <si>
    <t>CIM0839</t>
  </si>
  <si>
    <t>CIM0840</t>
  </si>
  <si>
    <t>CIM0842</t>
  </si>
  <si>
    <t>CIM0843</t>
  </si>
  <si>
    <t>CIM0844</t>
  </si>
  <si>
    <t>CIM0845</t>
  </si>
  <si>
    <t>CIM0846</t>
  </si>
  <si>
    <t>CIM0847</t>
  </si>
  <si>
    <t>CIM0848</t>
  </si>
  <si>
    <t>CIM0849</t>
  </si>
  <si>
    <t>CIM0851</t>
  </si>
  <si>
    <t>CIM0852</t>
  </si>
  <si>
    <t>CIM0853</t>
  </si>
  <si>
    <t>CIM0854</t>
  </si>
  <si>
    <t>CIM0898</t>
  </si>
  <si>
    <t>CIM0920</t>
  </si>
  <si>
    <t>CIM0924</t>
  </si>
  <si>
    <t>CIM0925</t>
  </si>
  <si>
    <t>CIM0928</t>
  </si>
  <si>
    <t>CIM0930</t>
  </si>
  <si>
    <t>CIM0931</t>
  </si>
  <si>
    <t>CIM0932</t>
  </si>
  <si>
    <t>CIM0933</t>
  </si>
  <si>
    <t>CIM0938</t>
  </si>
  <si>
    <t>CIM0939</t>
  </si>
  <si>
    <t>CIM0940</t>
  </si>
  <si>
    <t>CIM0941</t>
  </si>
  <si>
    <t>CIM0942</t>
  </si>
  <si>
    <t>CIM0943</t>
  </si>
  <si>
    <t>CIM0944</t>
  </si>
  <si>
    <t>CIM0945</t>
  </si>
  <si>
    <t>CIM0948</t>
  </si>
  <si>
    <t>CIM0949</t>
  </si>
  <si>
    <t>CIM0950</t>
  </si>
  <si>
    <t>CIM0951</t>
  </si>
  <si>
    <t>CIM0952</t>
  </si>
  <si>
    <t>CIM0953</t>
  </si>
  <si>
    <t>CIM0984</t>
  </si>
  <si>
    <t>CIM0985</t>
  </si>
  <si>
    <t>CIM0986</t>
  </si>
  <si>
    <t>CIM0987</t>
  </si>
  <si>
    <t>CIM0988</t>
  </si>
  <si>
    <t>CIM0989</t>
  </si>
  <si>
    <t>CIM0990</t>
  </si>
  <si>
    <t>CIM0991</t>
  </si>
  <si>
    <t>CIM0992</t>
  </si>
  <si>
    <t>CIM0993</t>
  </si>
  <si>
    <t>CIM0994</t>
  </si>
  <si>
    <t>CIM0996</t>
  </si>
  <si>
    <t>CIM0997</t>
  </si>
  <si>
    <t>CIM0999</t>
  </si>
  <si>
    <t>CIM1000</t>
  </si>
  <si>
    <t>CIM1001</t>
  </si>
  <si>
    <t>CIM1002</t>
  </si>
  <si>
    <t>CIM1004</t>
  </si>
  <si>
    <t>CIM1005</t>
  </si>
  <si>
    <t>CIM1006</t>
  </si>
  <si>
    <t>CIM1007</t>
  </si>
  <si>
    <t>CIM1008</t>
  </si>
  <si>
    <t>CIM1009</t>
  </si>
  <si>
    <t>CIM1010</t>
  </si>
  <si>
    <t>CIM1011</t>
  </si>
  <si>
    <t>CIM1012</t>
  </si>
  <si>
    <t>CIM1013</t>
  </si>
  <si>
    <t>CIM1014</t>
  </si>
  <si>
    <t>CIM1015</t>
  </si>
  <si>
    <t>CIM1016</t>
  </si>
  <si>
    <t>CIM1019</t>
  </si>
  <si>
    <t>CIM1020</t>
  </si>
  <si>
    <t>CIM1023</t>
  </si>
  <si>
    <t>CIM1024</t>
  </si>
  <si>
    <t>CIM1025</t>
  </si>
  <si>
    <t>CIM1026</t>
  </si>
  <si>
    <t>CIM1027</t>
  </si>
  <si>
    <t>CIM1029</t>
  </si>
  <si>
    <t>CIM1030</t>
  </si>
  <si>
    <t>CIM1031</t>
  </si>
  <si>
    <t>CIM1032</t>
  </si>
  <si>
    <t>CIM1034</t>
  </si>
  <si>
    <t>CIM1035</t>
  </si>
  <si>
    <t>CIM1036</t>
  </si>
  <si>
    <t>CIM1039</t>
  </si>
  <si>
    <t>CIM1040</t>
  </si>
  <si>
    <t>CIM1041</t>
  </si>
  <si>
    <t>CIM1042</t>
  </si>
  <si>
    <t>CIM1043</t>
  </si>
  <si>
    <t>CIM1044</t>
  </si>
  <si>
    <t>CIM1056</t>
  </si>
  <si>
    <t>CIM1057</t>
  </si>
  <si>
    <t>CIM1058</t>
  </si>
  <si>
    <t>CIM1059</t>
  </si>
  <si>
    <t>CIM1060</t>
  </si>
  <si>
    <t>CIM1064</t>
  </si>
  <si>
    <t>CIM1065</t>
  </si>
  <si>
    <t>CIM1066</t>
  </si>
  <si>
    <t>CIM1067</t>
  </si>
  <si>
    <t>CIM1068</t>
  </si>
  <si>
    <t>CIM1069</t>
  </si>
  <si>
    <t>CIM1070</t>
  </si>
  <si>
    <t>CIM1071</t>
  </si>
  <si>
    <t>CIM1072</t>
  </si>
  <si>
    <t>CIM1073</t>
  </si>
  <si>
    <t>CIM1075</t>
  </si>
  <si>
    <t>CIM1076</t>
  </si>
  <si>
    <t>CIM1077</t>
  </si>
  <si>
    <t>CIM1078</t>
  </si>
  <si>
    <t>CIM1079</t>
  </si>
  <si>
    <t>CIM1084</t>
  </si>
  <si>
    <t>CIM1086</t>
  </si>
  <si>
    <t>CIM1091</t>
  </si>
  <si>
    <t>CIM1183</t>
  </si>
  <si>
    <t>CIM1216</t>
  </si>
  <si>
    <t>CIM1217</t>
  </si>
  <si>
    <t>CIM1218</t>
  </si>
  <si>
    <t>CIM1219</t>
  </si>
  <si>
    <t>CIM1220</t>
  </si>
  <si>
    <t>CIM1221</t>
  </si>
  <si>
    <t>CIM1222</t>
  </si>
  <si>
    <t>CIM1223</t>
  </si>
  <si>
    <t>CIM1224</t>
  </si>
  <si>
    <t>CIM1225</t>
  </si>
  <si>
    <t>CIM1230</t>
  </si>
  <si>
    <t>CIM1233</t>
  </si>
  <si>
    <t>CIM1235</t>
  </si>
  <si>
    <t>CIM1238</t>
  </si>
  <si>
    <t>CIM1244</t>
  </si>
  <si>
    <t>CIM1247</t>
  </si>
  <si>
    <t>CIM1250</t>
  </si>
  <si>
    <t>CIM1251</t>
  </si>
  <si>
    <t>CIM1252</t>
  </si>
  <si>
    <t>CIM1260</t>
  </si>
  <si>
    <t>CIM1261</t>
  </si>
  <si>
    <t>CIM1262</t>
  </si>
  <si>
    <t>CIM1263</t>
  </si>
  <si>
    <t>CIM1268</t>
  </si>
  <si>
    <t>CIM1273</t>
  </si>
  <si>
    <t>CIM1274</t>
  </si>
  <si>
    <t>CIM1275</t>
  </si>
  <si>
    <t>CIM1276</t>
  </si>
  <si>
    <t>CIM1277</t>
  </si>
  <si>
    <t>CIM1278</t>
  </si>
  <si>
    <t>CIM1279</t>
  </si>
  <si>
    <t>CIM1282</t>
  </si>
  <si>
    <t>CIM1283</t>
  </si>
  <si>
    <t>CIM1284</t>
  </si>
  <si>
    <t>CIM1285</t>
  </si>
  <si>
    <t>CIM1286</t>
  </si>
  <si>
    <t>1010/1018/1022 HP/12A</t>
  </si>
  <si>
    <t>M254NW</t>
  </si>
  <si>
    <t>sim</t>
  </si>
  <si>
    <t>N/A</t>
  </si>
  <si>
    <t xml:space="preserve"> B432</t>
  </si>
  <si>
    <t>Phaser 3635 MFP</t>
  </si>
  <si>
    <t>ZEBRA GK420T</t>
  </si>
  <si>
    <t>LASER JET PRO M254</t>
  </si>
  <si>
    <t xml:space="preserve">HP 1010/1012/1015/1020/1022 </t>
  </si>
  <si>
    <t>TINTEIRO MAQUINA LAVAR FERROS WD260</t>
  </si>
  <si>
    <t>WD260</t>
  </si>
  <si>
    <t>CIM1287</t>
  </si>
  <si>
    <t>CIM1288</t>
  </si>
  <si>
    <t>CIM1289</t>
  </si>
  <si>
    <t>CIM1290</t>
  </si>
  <si>
    <t>CIM1293</t>
  </si>
  <si>
    <t>CIM1294</t>
  </si>
  <si>
    <t>CIM1295</t>
  </si>
  <si>
    <t>CIM1296</t>
  </si>
  <si>
    <t>CIM1297</t>
  </si>
  <si>
    <t>CIM1298</t>
  </si>
  <si>
    <t>CIM1299</t>
  </si>
  <si>
    <t>CIM1300</t>
  </si>
  <si>
    <t>CIM1301</t>
  </si>
  <si>
    <t>CIM1302</t>
  </si>
  <si>
    <t>CIM1303</t>
  </si>
  <si>
    <t>CIM1304</t>
  </si>
  <si>
    <t>CIM1305</t>
  </si>
  <si>
    <t>CIM1306</t>
  </si>
  <si>
    <t>CIM1307</t>
  </si>
  <si>
    <t>LASER JET P2055DN</t>
  </si>
  <si>
    <t>EPSON WF 2860</t>
  </si>
  <si>
    <t>ROTHER TZE241</t>
  </si>
  <si>
    <t>DESKJET 3050A</t>
  </si>
  <si>
    <t>DESKJET 6940</t>
  </si>
  <si>
    <t>HP LASER JET P2035</t>
  </si>
  <si>
    <t xml:space="preserve"> EPSON WF 2860</t>
  </si>
  <si>
    <t>LEXMARK MS810</t>
  </si>
  <si>
    <t>HP LASER JET 1020</t>
  </si>
  <si>
    <t>HP LASER JET 400 PRO</t>
  </si>
  <si>
    <t>LEXMARK MOD MS810DN</t>
  </si>
  <si>
    <t>LEXMARK MOD 502H</t>
  </si>
  <si>
    <t>LEXMARK MOD X792</t>
  </si>
  <si>
    <t>CIM1308</t>
  </si>
  <si>
    <t>OUTROS</t>
  </si>
  <si>
    <t>Toner lexmark ms510dn ref 502ue</t>
  </si>
  <si>
    <t>Toner xxl ref.45807111 oki b432</t>
  </si>
  <si>
    <t>Tambor ref. 44574302 oki b432</t>
  </si>
  <si>
    <t>Tinteiro hp c8766ee (hp 343) - tricolor</t>
  </si>
  <si>
    <t>Fotocondutor 55b0za0 lexmark</t>
  </si>
  <si>
    <t>Tinteiro c9363ee (344) - tricolor</t>
  </si>
  <si>
    <t>Toner preto ref. Q2612a</t>
  </si>
  <si>
    <t>Tinteiro cores ref. C6578d hp</t>
  </si>
  <si>
    <t xml:space="preserve">Toner preto ref. Tn-321 bk </t>
  </si>
  <si>
    <t>Tinteiro preto ref. C6615n</t>
  </si>
  <si>
    <t>Tinteiro cor ref.ªc6625a hp</t>
  </si>
  <si>
    <t>Toner mangenta ref. Tn-321m</t>
  </si>
  <si>
    <t>Toner amarelo ref. Tn-321y brother</t>
  </si>
  <si>
    <t>Toner cyan ref. Tn-321c brother</t>
  </si>
  <si>
    <t>Toner preto ref. Ce285a</t>
  </si>
  <si>
    <t>Toner cor preta ms310 lexmark</t>
  </si>
  <si>
    <t>Toner azul ref. C13s051160 epson</t>
  </si>
  <si>
    <t>Toner amarelo ref. C13s051158 epson</t>
  </si>
  <si>
    <t>Toner magenta ref. C13s051159</t>
  </si>
  <si>
    <t>Toner preto ref. C13s051161</t>
  </si>
  <si>
    <t>Toner p/impressora canon imagerunner advance 4525i - preto</t>
  </si>
  <si>
    <t xml:space="preserve">Fusor para impressora canon imagerunner advanced 4525                           </t>
  </si>
  <si>
    <t>Toner p/impressora canon imagerunner advance c355i - preto</t>
  </si>
  <si>
    <t>Recipiente residuos de toner p/ impressora canon ir c355i</t>
  </si>
  <si>
    <t>Toner p/impressora canon imagerunner advance c355i - amarelo</t>
  </si>
  <si>
    <t>Toner p/impressora canon imagerunner advance c355i - cyan</t>
  </si>
  <si>
    <t>Toner p/impressora canon imagerunner advance c355i - magenta</t>
  </si>
  <si>
    <t>Recipiente residuos de toner p/ impressora canon imagerunner advance c5540i</t>
  </si>
  <si>
    <t>Toner p/impressora oki - b 840 dn</t>
  </si>
  <si>
    <t xml:space="preserve">Fusor para impressora oki b840 dn                                               </t>
  </si>
  <si>
    <t>Kit fotocondutor p/impressora lexmark c746dn</t>
  </si>
  <si>
    <t>Tambor p/ impressora lexmark cx 310 dn - preto</t>
  </si>
  <si>
    <t>Tinteiro p/plotter hp designjet t 520 - amarelo</t>
  </si>
  <si>
    <t>Tinteiro p/plotter hp designjet t 520 - azul</t>
  </si>
  <si>
    <t>Tinteiro p/plotter hp designjet t 520 - magenta</t>
  </si>
  <si>
    <t>Toner p/impressora hp c5949a</t>
  </si>
  <si>
    <t>Toner hp 12a (q2612a)</t>
  </si>
  <si>
    <t>Toner hp (ce505a)</t>
  </si>
  <si>
    <t>Toner hp (q5949x)</t>
  </si>
  <si>
    <t>Toner hp (q1338a)</t>
  </si>
  <si>
    <t>Toner p/impressora canon isensys lbp 613 cdw - preto</t>
  </si>
  <si>
    <t>Toner p/multifuncoes canon 719h (cartridge)</t>
  </si>
  <si>
    <t>Toner impressora hp c7115x</t>
  </si>
  <si>
    <t>Toner p/impressora hp laserjet m 402 dn</t>
  </si>
  <si>
    <t>Toner p/impressora hp laserjet m 506 dn</t>
  </si>
  <si>
    <t>Toner p/ impressora hp laserjet m404 dn</t>
  </si>
  <si>
    <t>Toner hp laserjet p 1102 - ce 285 a/85a</t>
  </si>
  <si>
    <t>Toner p/impressora hp laserjet pro 400 / m 401 dn</t>
  </si>
  <si>
    <t>Toner p/impressora hp laserjet pro mfp 125</t>
  </si>
  <si>
    <t xml:space="preserve">Toner preto kyocera m5521cdn                  </t>
  </si>
  <si>
    <t xml:space="preserve">Toner ciano kyocera m5521cdn                                                    </t>
  </si>
  <si>
    <t>Toner amarelo kyocera m5521cdn</t>
  </si>
  <si>
    <t>Toner magenta kyocera m5521cdn</t>
  </si>
  <si>
    <t>Tambor de imagem kyocera m5521cdn (preto)</t>
  </si>
  <si>
    <t>Unidade reveladora preto kyocera m5521cdn</t>
  </si>
  <si>
    <t>Tambor de imagem kyocera m5521cdn (cor)</t>
  </si>
  <si>
    <t>Correia de transferencia kyocera m5521cdn</t>
  </si>
  <si>
    <t>Toner p/impressora oki mb 492 dn</t>
  </si>
  <si>
    <t>Tambor p/impressora oki mb 492 dn</t>
  </si>
  <si>
    <t>Toner p/impressora oki mc 363 dn - amarelo</t>
  </si>
  <si>
    <t>Toner p/impressora oki mc 363 dn - cyan</t>
  </si>
  <si>
    <t>Toner p/impressora oki mc 363 dn - magenta</t>
  </si>
  <si>
    <t>Toner p/impressora oki mc 363 dn - preto</t>
  </si>
  <si>
    <t>Fita de transferencia p/impressora oki mc 363 dn</t>
  </si>
  <si>
    <t>Fusor p/impressora oki mc 363 dn</t>
  </si>
  <si>
    <t>Tambor p/impressora oki mc 363 dn</t>
  </si>
  <si>
    <t>Tinteiro p/impressora hp officejet pro x451 dw (amarelo)</t>
  </si>
  <si>
    <t>Tinteiro p/impressora hp officejet pro x451 dw (cyan)</t>
  </si>
  <si>
    <t>Tinteiro p/impressora hp officejet pro x451 dw (magenta)</t>
  </si>
  <si>
    <t>Tinteiro p/impressora hp officejet pro x451 dw (preto)</t>
  </si>
  <si>
    <t>Toner hp 53a preto (q7553a)</t>
  </si>
  <si>
    <t>Toner hp laserjet p2015 (q7553x)</t>
  </si>
  <si>
    <t>Toner impressora hp ce 505x</t>
  </si>
  <si>
    <t>Toner hp (ce255x)</t>
  </si>
  <si>
    <t>Toner p/ impressora hp pro m402n</t>
  </si>
  <si>
    <t>Fita p/impressora de cartoes zebra zxp7</t>
  </si>
  <si>
    <t>Tinteiro epson pp-100 iii - amarelo (pjic5)</t>
  </si>
  <si>
    <t>Tinteiro epson pp-100 iii - ciano (pjic1)</t>
  </si>
  <si>
    <t>Tinteiro epson pp-100 iii - ciano claro (pjic2)</t>
  </si>
  <si>
    <t>Tinteiro epson pp-100 iii - magenta (pjic4)</t>
  </si>
  <si>
    <t>Tinteiro epson pp-100 iii - magenta claro (pjic3)</t>
  </si>
  <si>
    <t>Tinteiro epson pp-100 iii - preto (pjic6)</t>
  </si>
  <si>
    <t xml:space="preserve">Tinteiro hp 920xl amarelo un </t>
  </si>
  <si>
    <t>Tinteiro hp 920xl ciano</t>
  </si>
  <si>
    <t>Tinteiro hp 920xl magenta</t>
  </si>
  <si>
    <t>Toner impr hp laserjet 200 preto(cf210a)</t>
  </si>
  <si>
    <t>Toner impr hp laserjet 200 magen(cf213a)</t>
  </si>
  <si>
    <t>Toner impr hp laserjet 200 amare(cf212a)</t>
  </si>
  <si>
    <t>Toner impr hp laserjet q5949a</t>
  </si>
  <si>
    <t>Tinteiro impressora hp deskjet f 4280 (cc641-300xl) preto</t>
  </si>
  <si>
    <t>Toner 1566/1606 hp</t>
  </si>
  <si>
    <t>Toner laserjet pro m127 hp</t>
  </si>
  <si>
    <t>Toner laserjet pro 400 mfp m426dn hp</t>
  </si>
  <si>
    <t>Toner 2015 hp</t>
  </si>
  <si>
    <t>Depósito de resíduos para impressora konicac4050i/c3350i</t>
  </si>
  <si>
    <t>Toner cyan c4050i/c3350i konica</t>
  </si>
  <si>
    <t>Toner magenta c4050i/c3350i konica</t>
  </si>
  <si>
    <t>Toner preto laserjet p2015 hp</t>
  </si>
  <si>
    <t>Toner preto laserjet 1010 hp</t>
  </si>
  <si>
    <t>Toner preto p2500w pantum</t>
  </si>
  <si>
    <t>Toner preto 1102 hp</t>
  </si>
  <si>
    <t>Toner preto 1006 hp</t>
  </si>
  <si>
    <t>Toner preto c360i/c300i/c250i konica</t>
  </si>
  <si>
    <t>Toner preto laserjet p2055 dn hp</t>
  </si>
  <si>
    <t>Tambor de imagem oki b432/mb492</t>
  </si>
  <si>
    <t>Toner amarelo c400v dnm xerox</t>
  </si>
  <si>
    <t>Toner magenta c400v dnm xerox</t>
  </si>
  <si>
    <t>Toner preto c400v dnm xerox</t>
  </si>
  <si>
    <t>Toner preto b432/b512/mb492/mb562 oki</t>
  </si>
  <si>
    <t>Tambor amarelo konica c4050i/c3350i</t>
  </si>
  <si>
    <t>Tambor azul konica c4050i/c3350i</t>
  </si>
  <si>
    <t>Tambor magenta konica c4050i/c3350i</t>
  </si>
  <si>
    <t>Tambor preto konica c4050i/c3350i</t>
  </si>
  <si>
    <t>Tinteiro preto epson wf 6590 dwf</t>
  </si>
  <si>
    <t>Fotocondutor epson al m300ii</t>
  </si>
  <si>
    <t>Tinteiro preto epson al m300ii</t>
  </si>
  <si>
    <t>Fusor epson  al m300ii</t>
  </si>
  <si>
    <t>Tinteiro p/imp. Hp 5652 ref.c6656a preto (original)</t>
  </si>
  <si>
    <t>Toner p/imp. H.p. Laser jet 2015 dn q7553x</t>
  </si>
  <si>
    <t>Tinteiro p/imp. Hp 1010 ref.301xl preto (original)</t>
  </si>
  <si>
    <t>Tinteiro p/imp. Hp 1010 ref.301xl cor (original)</t>
  </si>
  <si>
    <t>Tinteiro p/imp. Hp ref.c9363 cor (344) (original)</t>
  </si>
  <si>
    <t>Tinteiro p/imp. Hp 970cxi  c6578d (original)</t>
  </si>
  <si>
    <t>Tinteiro p/imp. Hp ref.c8767 preto (339) (original)</t>
  </si>
  <si>
    <t>Tinteiro p/imp. Hp cb336ee nº 350xl preto (original)</t>
  </si>
  <si>
    <t>Toner p/imp. Laser jet pro 300/400 hpce 410x nº305x-preto (original)</t>
  </si>
  <si>
    <t>Tinteiro p/imp. Hp cb338ee nº351xl cor (original)</t>
  </si>
  <si>
    <t>Tinteiro p/imp. Hp 5652 ref.c6657a cor (original)</t>
  </si>
  <si>
    <t>Tinteiro p/imp. Hp ref.51645a (original)</t>
  </si>
  <si>
    <t>Tinteiro p/imp. Hpc6615d preto (original)</t>
  </si>
  <si>
    <t>Toner p/imp. Laser jet pro 300/400 hpce 412a nº305x (amarelo) original</t>
  </si>
  <si>
    <t>Toner p/imp. Laser jet pro 300/400 hpce 413a nº305x (magenta) origina</t>
  </si>
  <si>
    <t>Toner p/imp. Laser jet pro 300/400 hpce 411a nº305x (azul) original</t>
  </si>
  <si>
    <t>Toner hp laserjet 203x pro m254 preto (cf540x) (oroginal)</t>
  </si>
  <si>
    <t>Toner hp laserjet 203x pro m254 amarelo (cf542x) (original)</t>
  </si>
  <si>
    <t>Toner hp laserjet 203x pro m254 azul (cf541x)(original</t>
  </si>
  <si>
    <t>Toner hp laserjet 203x pro m254 magenta (cf543x) (original)</t>
  </si>
  <si>
    <t>Toner p/impressora hp laserjet pro m404 dn ref. Cf259a (original)</t>
  </si>
  <si>
    <t>Toner p/imp. Laser jet pro 452 hpcf 410x - preto (original</t>
  </si>
  <si>
    <t>Toner p/impressora hp laserjet pro m402 dn ref. Hpcf226x (original)</t>
  </si>
  <si>
    <t>Toner p/ imp. Hp laser jet pro 400/m401 ref.cf280x</t>
  </si>
  <si>
    <t>Toner p/imp. Hp (ref.ª ce 505a)  preto (original)</t>
  </si>
  <si>
    <t>Toner hp laserjet 415a pro m545 preto (w2030x)</t>
  </si>
  <si>
    <t>Toner p/imp. Laser jet pro 452  hpcf 411x - azul (original)</t>
  </si>
  <si>
    <t>Toner p/imp. Laser jet pro 452 hpcf 412x - amarelo (original)</t>
  </si>
  <si>
    <t>Toner p/imp. Laser jet pro 452 hpcf 413x - magenta (original)</t>
  </si>
  <si>
    <t>Toner p/imp. Hp laser jet p3010/3015 nº ce255x- preto (original)</t>
  </si>
  <si>
    <t>Toner hp laserjet 415a pro m545 amarelo (w2032x)</t>
  </si>
  <si>
    <t>Toner hp laserjet 415a pro m545 azul (w2031x)</t>
  </si>
  <si>
    <t>Toner hp laserjet 415a pro m545 magenta (w2033x)</t>
  </si>
  <si>
    <t>Toner preto p/ hp  lj cp1215  hp cb540a</t>
  </si>
  <si>
    <t>Toner 502h (550400840) lexmark</t>
  </si>
  <si>
    <t>Toner imp hp laser jet p2055dn</t>
  </si>
  <si>
    <t>Fita impressao brother tze241 18mmx8m laminada</t>
  </si>
  <si>
    <t>Carga imp hp deskjet 3050a/1010/4500 preto (ch561ee)</t>
  </si>
  <si>
    <t>Toner imp hp laser jet p2035 (ce505a)</t>
  </si>
  <si>
    <t>Unidade de imagem ms810</t>
  </si>
  <si>
    <t>Toner imp hp deskjet 6940 (c8767e) preto</t>
  </si>
  <si>
    <t>Toner imp hp laser jet 1020 (q2612a)</t>
  </si>
  <si>
    <t>Toner imp hp laser jet 400 pro mfp m476dn preto (cf380a)</t>
  </si>
  <si>
    <t>Toner imp lexmark mod ms810dn preto alta capacidade</t>
  </si>
  <si>
    <t>Toner imp lexmark mod 502h  (ms310dn)</t>
  </si>
  <si>
    <t>Toner imp lexmark mod x792 magenta</t>
  </si>
  <si>
    <t>Kit manutencao lexmark ms810</t>
  </si>
  <si>
    <t>Toner imp lexmark mod x792 azul</t>
  </si>
  <si>
    <t>Fusor lexmark x792</t>
  </si>
  <si>
    <t>Toner imp lexmark mod x792 amarelo</t>
  </si>
  <si>
    <t>Modulo transfer lexmark x792</t>
  </si>
  <si>
    <t>Fita imp epson fx890 preto (c13s015329)</t>
  </si>
  <si>
    <t>Carga imp epson wf 2860 - 502 xl amarelo</t>
  </si>
  <si>
    <t>Carga imp epson wf 2860 - 502 xl azul</t>
  </si>
  <si>
    <t>Carga imp epson wf 2860 - 502 xl magenta</t>
  </si>
  <si>
    <t>Carga imp epson wf 2860 - 502 xl preto</t>
  </si>
  <si>
    <t>Lexmark mod x792 preto alta capacidade</t>
  </si>
  <si>
    <t>Tinteiro imp. Canon - cor cl-41</t>
  </si>
  <si>
    <t>Tinteiro imp. Canon mg 36505 - preto  pg-540</t>
  </si>
  <si>
    <t>Tinteiro imp. Canon mp 36505 - cor cl-541</t>
  </si>
  <si>
    <t>Tinteiro imp. Canon mp270 - preto  pg-512</t>
  </si>
  <si>
    <t>Tinteiro imp. Canon mp270 - cor cl-513</t>
  </si>
  <si>
    <t>Tinteiro imp. Canon - preto pg-40</t>
  </si>
  <si>
    <t>Tinteiro imp. Canon ts8350 - amarelo 581 y xxl</t>
  </si>
  <si>
    <t>Tinteiro imp. Canon ts8350 - magenta 581 m xxl</t>
  </si>
  <si>
    <t>Tinteiro imp. Canon ts8350 - azul 581 c xxl</t>
  </si>
  <si>
    <t>Tinteiro imp. Canon ts8350 - preto 580 pgbk xxl</t>
  </si>
  <si>
    <t>Tinteiro imp. Canon ts8350 - preto 581 bk xxl</t>
  </si>
  <si>
    <t xml:space="preserve">Fita super adesiva p/ imp brother p-touch 2700 12mm x 8mt </t>
  </si>
  <si>
    <t>Fita super adesiva p/ imp brother p-touch 2700 24mm x 8mt</t>
  </si>
  <si>
    <t xml:space="preserve">Toner p/ imp. Brother hl-l2360dn - tn2320 </t>
  </si>
  <si>
    <t>Drum kit p/ imp. Brother hl-l2360dn (dr2300)</t>
  </si>
  <si>
    <t>Toner p/imp. Brother hl-l2370dn (tn2420)</t>
  </si>
  <si>
    <t xml:space="preserve">Drum kit p/impressora brother hl-l2370 dn </t>
  </si>
  <si>
    <t>Cartucho manutenção p/ imp epson pp-100/pp-50</t>
  </si>
  <si>
    <t>Tinteiro p/imp epson pp-100/pp-50 cyan</t>
  </si>
  <si>
    <t>Tinteiro p/imp epson pp-100/pp-50 cyan claro</t>
  </si>
  <si>
    <t>Tinteiro p/imp epson pp-100/pp-50 magenta</t>
  </si>
  <si>
    <t>Toner p/ imp. Laserjet pro m 201n</t>
  </si>
  <si>
    <t>Tinteiro hp 7110 officejet amarelo - cn056a</t>
  </si>
  <si>
    <t>Tinteiro hp 7110 officejet azul - cn054a</t>
  </si>
  <si>
    <t>Tinteiro hp 7110 officejet magenta - cn055a</t>
  </si>
  <si>
    <t>Tinteiro hp 7110 officejet preto - cn053a</t>
  </si>
  <si>
    <t>Toner p/imp. Hp color laserjet pro m252 preto</t>
  </si>
  <si>
    <t>Toner p/imp. Hp color laserjet pro m252 cyan</t>
  </si>
  <si>
    <t>Toner p/imp. Hp color laserjet pro m252 yellow</t>
  </si>
  <si>
    <t>Toner p/imp. Hp color laserjet pro m252 magenta</t>
  </si>
  <si>
    <t>Cartucho p/ imp hp laserjet m506 preto - cf287x (capacidade p/18000 pag.)</t>
  </si>
  <si>
    <t>Toner p/ imp. Hp laserjet pro 404 preto ref. Hp59x</t>
  </si>
  <si>
    <t>Toner p/imp. Hp ref. Ce278a</t>
  </si>
  <si>
    <t>Tinteiro hp2510  cores n. 301xl</t>
  </si>
  <si>
    <t>Tinteiro hp2510  preto n. 301xl</t>
  </si>
  <si>
    <t>Tinteiro p/ imp. Hp 3632 cores</t>
  </si>
  <si>
    <t xml:space="preserve">Tinteiro p/ imp. Hp 3632 preto </t>
  </si>
  <si>
    <t>Toner  ce 740a black p/imp. Laserjet cp 5225</t>
  </si>
  <si>
    <t>Toner  ce 741a cian p/imp. Laserjet cp 5225</t>
  </si>
  <si>
    <t>Toner  ce 743a magenta p/imp. Laserjet cp 5225</t>
  </si>
  <si>
    <t xml:space="preserve">Tinteiro hp preto n. 10 - c4844ae  (imp. E ploter) </t>
  </si>
  <si>
    <t>Toner p/ imp. Lexmark e352dn - e352h11e (alt cap)</t>
  </si>
  <si>
    <t>Drum kit preto p/ imp.lexmark ms310d</t>
  </si>
  <si>
    <t>Drum kit preto p/ imp.lexmark ms810dn</t>
  </si>
  <si>
    <t>Toner p/impressora lexmark cs510 azul</t>
  </si>
  <si>
    <t>Toner p/impressora lexmark cs510 preto</t>
  </si>
  <si>
    <t>Toner p/impressora lexmark cs510 magenta</t>
  </si>
  <si>
    <t>Toner p/impressora lexmark cs510 amarelo</t>
  </si>
  <si>
    <t>Toner p/impressora lexmark serie 300,400,500,600 - 502he</t>
  </si>
  <si>
    <t>Toner p/impressora lexmark serie 800 preto - 522he</t>
  </si>
  <si>
    <t>Toner pa210 p/imp. Pantum p250w</t>
  </si>
  <si>
    <t xml:space="preserve">Toner p/imp. Ricoh aficio sp c310e preto </t>
  </si>
  <si>
    <t>Toner p/imp. Ricoh aficio sp c310e amarelo</t>
  </si>
  <si>
    <t>Toner p/imp. Ricoh aficio sp c310e cyan</t>
  </si>
  <si>
    <t>Toner p/imp. Ricoh aficio sp c310e magenta</t>
  </si>
  <si>
    <t xml:space="preserve">Toner p/imp.samsung ml-2160 </t>
  </si>
  <si>
    <t>Fita carbono p/imp. Zebra 110mmx75mts</t>
  </si>
  <si>
    <t xml:space="preserve">Fita p/ imp. Zebra gk 420 - 64 mm x 74m carbono polipropileno c/brilho </t>
  </si>
  <si>
    <t>Tinteiro p/imp epson pp-100/pp-50 preto</t>
  </si>
  <si>
    <t>Tinteiro p/imp epson pp-100/pp-50 amarelo</t>
  </si>
  <si>
    <t>Tinteiro p/imp epson pp-100/pp-50 magenta claro</t>
  </si>
  <si>
    <t>Tinteiro p/ imp epson xp 29xl cyan</t>
  </si>
  <si>
    <t>Tinteiro p/ imp epson xp 29xl magenta</t>
  </si>
  <si>
    <t>Tinteiro p/ imp epson xp 29xl yellow</t>
  </si>
  <si>
    <t>Tinteiro p/ imp epson xp 29xl preto</t>
  </si>
  <si>
    <t xml:space="preserve">Tinteiro epson t16xl magenta </t>
  </si>
  <si>
    <t xml:space="preserve">Tinteiro epson t16xl yellow </t>
  </si>
  <si>
    <t>Tinteiro epson t16xl preto</t>
  </si>
  <si>
    <t>Tinteiro epson t16xl cyan</t>
  </si>
  <si>
    <t>Toner hp laserjet ce278a</t>
  </si>
  <si>
    <t>Toner hp cf 283a</t>
  </si>
  <si>
    <t>Tinteiro p/impressora p/ maq lavar e desinf miele g7898</t>
  </si>
  <si>
    <t xml:space="preserve">Toner para laserjet p3015dn - ce255a </t>
  </si>
  <si>
    <t>Toner preto ref. Q5949x-q7553x</t>
  </si>
  <si>
    <t>Toner p/ impressora canon i-sensys lbp162dw cartridge 051 h</t>
  </si>
  <si>
    <t>Toner p/ impressora canon i-sensys lbp6650dn 0719 h</t>
  </si>
  <si>
    <t>Tambor p/ impressora canon i-sensys lbp162dw cartridge 051</t>
  </si>
  <si>
    <t>Toner p/ impressora canon i-sensys lbp212dw 052h</t>
  </si>
  <si>
    <t>Toner canon i-sensys lbp223dw 057 h</t>
  </si>
  <si>
    <t>Toner p/ impressora canon i-sensys lbp663cdw 055h</t>
  </si>
  <si>
    <t>Toner p/ impressora canon i-sensys lbp663cdw 055h - amarelo</t>
  </si>
  <si>
    <t>Toner p/ impressora canon i-sensys lbp663cdw 055h - ciano</t>
  </si>
  <si>
    <t>Toner p/ impressora canon i-sensys lbp663cdw 055h - magenta</t>
  </si>
  <si>
    <t>Tinteiro azul hp office jet 8100</t>
  </si>
  <si>
    <t>Toner impressora hp 1010/1018/1022 hp/12a</t>
  </si>
  <si>
    <t>Toner p/impressora oki b412dn</t>
  </si>
  <si>
    <t>Toner kyocera tk-3160 – preto eccossis 3145dn</t>
  </si>
  <si>
    <t>Toner impre. - hp color laserjet pro m254nw - hp cf540x</t>
  </si>
  <si>
    <t>Toner impre. Hp laserjet ce/505x - p/2055n</t>
  </si>
  <si>
    <t>Toner lexmark ms312dn</t>
  </si>
  <si>
    <t>Toner oki b432dn</t>
  </si>
  <si>
    <t>Tambor p/ impressora ms312dn</t>
  </si>
  <si>
    <t>Tambor p/impressora oki b412dn</t>
  </si>
  <si>
    <t>Tinteiro manutenção epson pjmb100 discproducer c13s020476</t>
  </si>
  <si>
    <t>Tinteiro epson discproducer azul c13s020447</t>
  </si>
  <si>
    <t>Tinteiro epson discproducer azul claro c13s020448</t>
  </si>
  <si>
    <t>Tambor oki b432dn</t>
  </si>
  <si>
    <t>Tambor lexmark ms421dn</t>
  </si>
  <si>
    <t>Tinteiro epson discproducer magenta claro c13s020449</t>
  </si>
  <si>
    <t>Tinteiro epson discproducer magenta c13s020450</t>
  </si>
  <si>
    <t>Tinteiro epson discproducer amarelo c13s020451</t>
  </si>
  <si>
    <t>Tinteiro epson discproducer preto c13s020452</t>
  </si>
  <si>
    <t>Toner lexmark ms421dn</t>
  </si>
  <si>
    <t>Cd-r imprimivel 52 x 700 mb/80 min ink jet full suface</t>
  </si>
  <si>
    <t>Fita cas.epson erc-09 b/esterilização</t>
  </si>
  <si>
    <t>Toner p/impressora hp laserjet 1022n (rf.q2612a)</t>
  </si>
  <si>
    <t>Fita carbono 100% cera zebra 2100 60mmx450mts.</t>
  </si>
  <si>
    <t>Toner brother tn 3170</t>
  </si>
  <si>
    <t>Toner brother tn3230</t>
  </si>
  <si>
    <t>Fita preta datador-numerador eletrico - modelo etp-20</t>
  </si>
  <si>
    <t>Fita epson lq 590 - so 15337</t>
  </si>
  <si>
    <t>Tnteiro hp 935 officejet amarelo (ref.: hpc2p22a) original</t>
  </si>
  <si>
    <t>Tnteiro hp 935 officejet azul (ref.: hpc2p20a) original</t>
  </si>
  <si>
    <t>Tnteiro hp 935 officejet magenta (ref.: hpc2p20a) original</t>
  </si>
  <si>
    <t>Tinteiro imp.hp/45 preto ref 51645ae</t>
  </si>
  <si>
    <t>Tnteiro hp 934 officejet preto (ref.: hpc2p19a) original</t>
  </si>
  <si>
    <t>Tinteiro hp deskjet 78 cores ref.6578 de</t>
  </si>
  <si>
    <t>Fita p maquina de selar hawo hm 750-2020</t>
  </si>
  <si>
    <t>Tinta preta rz 200/300 - s4253e</t>
  </si>
  <si>
    <t>Tinteiro epson discproducer, amarelo (moq=10) (c13s020451)</t>
  </si>
  <si>
    <t>Tinteiro epson discproducer, cyan (moq=10) (c13s020447)</t>
  </si>
  <si>
    <t>Tinteiro epson discproducer, magenta (moq=10) (c13s020450)</t>
  </si>
  <si>
    <t>Tinteiro epson discproducer, preto (moq=10) (c13s020452)</t>
  </si>
  <si>
    <t>Tinteiro epson discproducer, magenta claro (moq=10) (c13s020449)</t>
  </si>
  <si>
    <t>Tinteiro epson discproducer, cyan claro (moq=10) (c13s020448)</t>
  </si>
  <si>
    <t>Toner p/hp laserjet p1102 (ce285a)</t>
  </si>
  <si>
    <t>Tinteiro p/impressora hp officejet pro 8000 série a809 (940 c4900a)</t>
  </si>
  <si>
    <t>Tinteiro p/impressora hp officejet pro 8000 série a809 (940 c4901a)</t>
  </si>
  <si>
    <t>Toner canon 052 preto</t>
  </si>
  <si>
    <t>Toner brother tn3380</t>
  </si>
  <si>
    <t>Código do Artigo SPMS</t>
  </si>
  <si>
    <t>ULSCBeira</t>
  </si>
  <si>
    <t>CIM1372</t>
  </si>
  <si>
    <t>CIM1373</t>
  </si>
  <si>
    <t>CIM1374</t>
  </si>
  <si>
    <t>CIM1375</t>
  </si>
  <si>
    <t>CIM1376</t>
  </si>
  <si>
    <t>CIM1366</t>
  </si>
  <si>
    <t>CIM1367</t>
  </si>
  <si>
    <t>CIM1368</t>
  </si>
  <si>
    <t>CIM1369</t>
  </si>
  <si>
    <t>CIM1370</t>
  </si>
  <si>
    <t>CIM1371</t>
  </si>
  <si>
    <t>TINTEIRO PRETO REF. PGI-525PGB P/IMPRESSORA CANON</t>
  </si>
  <si>
    <t>IP4850</t>
  </si>
  <si>
    <t>19 ml</t>
  </si>
  <si>
    <t>TINTEIRO PRETO REF. CLI-526BK P/IMPRESSORA CANON</t>
  </si>
  <si>
    <t>TINTEIRO CYAN REF.CLI-526C P/IMPRESSORA CANON</t>
  </si>
  <si>
    <t>TINTEIRO AMARELO REF. CLI-526Y P/IMPRESSORA CANON</t>
  </si>
  <si>
    <t>TINTEIRO MAGENTA REF. CLI-526M P/IMPRESSORA CANON</t>
  </si>
  <si>
    <t>LEXMARK MS321/421/621 MX521 60K</t>
  </si>
  <si>
    <t>CIM1491</t>
  </si>
  <si>
    <t>CIM1484</t>
  </si>
  <si>
    <t>CIM1478</t>
  </si>
  <si>
    <t>CIM1489</t>
  </si>
  <si>
    <t>CIM1490</t>
  </si>
  <si>
    <t>CIM1492</t>
  </si>
  <si>
    <t xml:space="preserve">TONER PRETO IMP BROTHER HL-L237ODN                                              </t>
  </si>
  <si>
    <t xml:space="preserve">HL L237ODN           </t>
  </si>
  <si>
    <t xml:space="preserve">TINTEIRO EPSON ECOTANK 111 ET1180 PRETO                                         </t>
  </si>
  <si>
    <t xml:space="preserve">ECOTANK 111 ET1180 PRETO  </t>
  </si>
  <si>
    <t xml:space="preserve">CARGA IMP HP DESKJET 2620 COR                                                   </t>
  </si>
  <si>
    <t xml:space="preserve">DESKJET 2620 COR     </t>
  </si>
  <si>
    <t xml:space="preserve">TONER IMP HP LASER JET 2100 C4096-A                                             </t>
  </si>
  <si>
    <t xml:space="preserve">LASER JET 2100 C4096-A    </t>
  </si>
  <si>
    <t xml:space="preserve">TONER IMP HP LASER JET 4200N (Q1338A)                                           </t>
  </si>
  <si>
    <t xml:space="preserve">LASER JET 4200N (Q1338A)   </t>
  </si>
  <si>
    <t xml:space="preserve">UNIDADE IMAGEM MS310DN                                                          </t>
  </si>
  <si>
    <t xml:space="preserve">MS310DN         </t>
  </si>
  <si>
    <t>CIM1425</t>
  </si>
  <si>
    <t>CIM1426</t>
  </si>
  <si>
    <t>CIM1427</t>
  </si>
  <si>
    <t>CIM1428</t>
  </si>
  <si>
    <t>CIM1429</t>
  </si>
  <si>
    <t>CIM1430</t>
  </si>
  <si>
    <t>CIM1431</t>
  </si>
  <si>
    <t>CIM1432</t>
  </si>
  <si>
    <t>CIM1433</t>
  </si>
  <si>
    <t>CIM1412</t>
  </si>
  <si>
    <t>CIM1413</t>
  </si>
  <si>
    <t>CIM1414</t>
  </si>
  <si>
    <t>CIM1415</t>
  </si>
  <si>
    <t>CIM1416</t>
  </si>
  <si>
    <t>CIM1417</t>
  </si>
  <si>
    <t>CIM1405</t>
  </si>
  <si>
    <t>CIM1407</t>
  </si>
  <si>
    <t>CIM1411</t>
  </si>
  <si>
    <t>CIM1422</t>
  </si>
  <si>
    <t>Caixa de resíduos</t>
  </si>
  <si>
    <t>WF-6590DW</t>
  </si>
  <si>
    <t>Garrafa de resíduos</t>
  </si>
  <si>
    <t>Tinteiro preto</t>
  </si>
  <si>
    <t>Tinteiro amarelo</t>
  </si>
  <si>
    <t>Tinteiro cyan</t>
  </si>
  <si>
    <t>Tinteiro cyan claro</t>
  </si>
  <si>
    <t>Tinteiro magenta</t>
  </si>
  <si>
    <t>Tinteiro magenta claro</t>
  </si>
  <si>
    <t>Designjet T930</t>
  </si>
  <si>
    <t>Tinteiro azul</t>
  </si>
  <si>
    <t>Tinteiro cinzento</t>
  </si>
  <si>
    <t>Tinteiro preto fotográfico</t>
  </si>
  <si>
    <t>Tinteiro preto matte</t>
  </si>
  <si>
    <t>Depósito de resíduos para impressora konica c360i/c300i/c250i</t>
  </si>
  <si>
    <t>Toner amarelo c360i/c300i/c250i konica</t>
  </si>
  <si>
    <t>Toner cyan c360i/c300i/c250i konica</t>
  </si>
  <si>
    <t>Toner magenta c360i/c300i/c250i konica</t>
  </si>
  <si>
    <t>ULSO</t>
  </si>
  <si>
    <t>HP CF 283a</t>
  </si>
  <si>
    <t>CIM1531</t>
  </si>
  <si>
    <t>CIM1532</t>
  </si>
  <si>
    <t>CIM1535</t>
  </si>
  <si>
    <t>CIM1536</t>
  </si>
  <si>
    <t>CIM1537</t>
  </si>
  <si>
    <t>CIM1541</t>
  </si>
  <si>
    <t>CIM1542</t>
  </si>
  <si>
    <t>CIM1546</t>
  </si>
  <si>
    <t>CIM1547</t>
  </si>
  <si>
    <t>CIM1549</t>
  </si>
  <si>
    <t>CIM1558</t>
  </si>
  <si>
    <t>CIM1559</t>
  </si>
  <si>
    <t>CIM1564</t>
  </si>
  <si>
    <t>CIM1565</t>
  </si>
  <si>
    <t>CIM1566</t>
  </si>
  <si>
    <t>CIM1567</t>
  </si>
  <si>
    <t>CIM1569</t>
  </si>
  <si>
    <t>CIM1570</t>
  </si>
  <si>
    <t>CIM1572</t>
  </si>
  <si>
    <t>CIM1573</t>
  </si>
  <si>
    <t>CIM1574</t>
  </si>
  <si>
    <t>CIM1575</t>
  </si>
  <si>
    <t>CIM1576</t>
  </si>
  <si>
    <t>CIM1577</t>
  </si>
  <si>
    <t>CIM1578</t>
  </si>
  <si>
    <t>CIM1579</t>
  </si>
  <si>
    <t>CIM1543</t>
  </si>
  <si>
    <t>CIM1544</t>
  </si>
  <si>
    <t>CIM1548</t>
  </si>
  <si>
    <t>CIM1552</t>
  </si>
  <si>
    <t>CIM1556</t>
  </si>
  <si>
    <t>CIM1560</t>
  </si>
  <si>
    <t>CIM1561</t>
  </si>
  <si>
    <t>CIM1563</t>
  </si>
  <si>
    <t>CIM1571</t>
  </si>
  <si>
    <t>CIM1568</t>
  </si>
  <si>
    <t xml:space="preserve">ULSAM </t>
  </si>
  <si>
    <t xml:space="preserve">Fita Epson hx 20 erc 09 nylon violeta p/autoclave           </t>
  </si>
  <si>
    <t>HX 20</t>
  </si>
  <si>
    <t xml:space="preserve">Fita Epson erc 28 nylon preto p/maquina selar               </t>
  </si>
  <si>
    <t>ERC28</t>
  </si>
  <si>
    <t xml:space="preserve">Tinteiro impressora HP cc641ee xl 300 preto                            </t>
  </si>
  <si>
    <t>DESKJET D5560</t>
  </si>
  <si>
    <t xml:space="preserve">Tinteiro impressora HP cc644ee 300 xl cor                              </t>
  </si>
  <si>
    <t xml:space="preserve">Tinteiro impressora HP c6625 ae - 17 cor                               </t>
  </si>
  <si>
    <t xml:space="preserve">Tinteiro impressora HP c6656 a - 56 preto                              </t>
  </si>
  <si>
    <t xml:space="preserve">Tinteiro impressora HP c6657 a - 57 cor                                </t>
  </si>
  <si>
    <t xml:space="preserve">Tinteiro impressora HP c8767 e - 339 preto                             </t>
  </si>
  <si>
    <t xml:space="preserve">Tinteiro impressora HP c9363 e - 344 cor                               </t>
  </si>
  <si>
    <t xml:space="preserve">Tinteiro impressora HP c9351 ae - 21 preto                             </t>
  </si>
  <si>
    <t xml:space="preserve">Tinteiro impressora HP ch563ee 301xl preto                             </t>
  </si>
  <si>
    <t>DESKJET 3050</t>
  </si>
  <si>
    <t xml:space="preserve">Tinteiro impressora HP ch564ee 301xl tricolor                          </t>
  </si>
  <si>
    <t xml:space="preserve">Tinteiro multifunções HP 950 xl preto cn045ae                           </t>
  </si>
  <si>
    <t>OFFICEJET PRO 8610</t>
  </si>
  <si>
    <t xml:space="preserve">Tinteiro multifunções HP 951 xl ciano cn046ae                           </t>
  </si>
  <si>
    <t xml:space="preserve">Tinteiro multifunções HP 951 xl magenta cn047ae                         </t>
  </si>
  <si>
    <t xml:space="preserve">Tinteiro multifunções HP 951 xl amarelo cn048ae                         </t>
  </si>
  <si>
    <t xml:space="preserve">Tinteiro impressora HP 302 preto                                       </t>
  </si>
  <si>
    <t>DESKJET 1110</t>
  </si>
  <si>
    <t xml:space="preserve">Tinteiro impressora HP 302 cor                                         </t>
  </si>
  <si>
    <t xml:space="preserve">Unidade imagem HP cf219a (19a)                              </t>
  </si>
  <si>
    <t xml:space="preserve">Toner impressora HP cf226a - 26a                                   </t>
  </si>
  <si>
    <t>Laserjet Pro MFP M402dn</t>
  </si>
  <si>
    <t xml:space="preserve">Tinteiro impressora HP 304 xl preto                                    </t>
  </si>
  <si>
    <t>DESKJET 3720</t>
  </si>
  <si>
    <t xml:space="preserve">Tinteiro impressora HP 304 xl tricolor                                 </t>
  </si>
  <si>
    <t xml:space="preserve">Tinteiro impressora HP 953 xl preto                                    </t>
  </si>
  <si>
    <t xml:space="preserve">Tinteiro impressora HP 953 xl ciano                                    </t>
  </si>
  <si>
    <t xml:space="preserve">Tinteiro impressora HP 953 xl magenta                                  </t>
  </si>
  <si>
    <t xml:space="preserve">Tinteiro impressora HP 953 xl amarelo                                  </t>
  </si>
  <si>
    <t xml:space="preserve">Toner impressora HP q2613 a - 13a preto                            </t>
  </si>
  <si>
    <t xml:space="preserve">Toner impressora HP q2612 a                                        </t>
  </si>
  <si>
    <t xml:space="preserve">Toner impressora HP q7553 a                                        </t>
  </si>
  <si>
    <t xml:space="preserve">Toner impressora HP cb436 a - 36a                                  </t>
  </si>
  <si>
    <t xml:space="preserve">Toner impressora HP ce505a - 05 a preto                            </t>
  </si>
  <si>
    <t>Laserjet P2055d</t>
  </si>
  <si>
    <t xml:space="preserve">Toner multifunções HP ce285a 85 a preto                             </t>
  </si>
  <si>
    <t>Laserjet Pro Serie M1212nf</t>
  </si>
  <si>
    <t xml:space="preserve">Toner impressora HP cf280a - 80 a                                  </t>
  </si>
  <si>
    <t>Laserjet Pro 400 M401 Dn</t>
  </si>
  <si>
    <t xml:space="preserve">Toner multifunções HP cf283a - 83a                                  </t>
  </si>
  <si>
    <t>Laserjet Pro MFP 127 fw</t>
  </si>
  <si>
    <t xml:space="preserve">Toner multifunções HP cf217a - 17a                                  </t>
  </si>
  <si>
    <t>Laserjet Pro MFP M130FW E Laserjet PRO M102W</t>
  </si>
  <si>
    <t>KYOCERA</t>
  </si>
  <si>
    <t xml:space="preserve">Toner fotocopiadora kyocera tk-1150                                   </t>
  </si>
  <si>
    <t>Ecosys M2135dn</t>
  </si>
  <si>
    <t xml:space="preserve">Toner impressora lexmark monocromatica 502h (50f2h00)              </t>
  </si>
  <si>
    <t xml:space="preserve"> Laser Monocromática MS415dn</t>
  </si>
  <si>
    <t>Toner Preto 55B2H00</t>
  </si>
  <si>
    <t>Toner Preto 20N2XK0</t>
  </si>
  <si>
    <t>CS431dw</t>
  </si>
  <si>
    <t>Toner Cyan 20N2XC0</t>
  </si>
  <si>
    <t>Toner Magenta 20N2XM0</t>
  </si>
  <si>
    <t>Toner Amarelo 20N2XY0</t>
  </si>
  <si>
    <t>Fotocondutor 20N0W00</t>
  </si>
  <si>
    <t>Toner Preto 56F2U0E</t>
  </si>
  <si>
    <t>MX521ade</t>
  </si>
  <si>
    <t>CX622ade</t>
  </si>
  <si>
    <t>CIM1589</t>
  </si>
  <si>
    <t>CIM1590</t>
  </si>
  <si>
    <t>CIM1591</t>
  </si>
  <si>
    <t>CIM1592</t>
  </si>
  <si>
    <t>CIM1593</t>
  </si>
  <si>
    <t>TONER PRETO HP COLOR LASERJET PRO M255 / MFP M282/283 - 207A</t>
  </si>
  <si>
    <t>HP Color Laser Jet Pro M255dw</t>
  </si>
  <si>
    <t>TONER CIÃO HP COLOR LASERJET PRO M255 / MFP M282/283 - 207A</t>
  </si>
  <si>
    <t>TONER AMARELO HP COLOR LASERJET PRO M255 / MFP M282 - 207A</t>
  </si>
  <si>
    <t>TONER MAGENTA HP COLOR LASERJET PRO M255 / MFP M282 - 207A</t>
  </si>
  <si>
    <t>TNTEIRO PRETO HP 302 XL</t>
  </si>
  <si>
    <t>Pro 8000 série a809 (940 c4900a)</t>
  </si>
  <si>
    <t>pro 8000 série a809 (940 c4901a)</t>
  </si>
  <si>
    <t>ULSAC</t>
  </si>
  <si>
    <t>TONER LEXMARK MX 331 adn - ref 55B2H00</t>
  </si>
  <si>
    <t>MX 331 adn</t>
  </si>
  <si>
    <t>Toner Konica C300i - ref AAV8250 - TN-328 Y</t>
  </si>
  <si>
    <t>C300i</t>
  </si>
  <si>
    <t>Toner konica C300i - ref AAV8450 - TN-328 C</t>
  </si>
  <si>
    <t>Toner konica mod.C3320 PRETO - TNP80 K</t>
  </si>
  <si>
    <t>C3320i</t>
  </si>
  <si>
    <t>Toner konica mod.C3320 AZUL - TNP80 C</t>
  </si>
  <si>
    <t>Toner konica mod.C3320 MAGENTA - TNP80 M</t>
  </si>
  <si>
    <t>Toner konica mod.C3320 AMARELO - TNP80 Y</t>
  </si>
  <si>
    <t>Tambor Konica Minolta BizHub mod C3320i - PRETO - IUP 36 K</t>
  </si>
  <si>
    <t>200 000 pág.</t>
  </si>
  <si>
    <t>Tambor Konica Minolta BizHub mod C3320i - AZUL - IUP 36 C</t>
  </si>
  <si>
    <t>100 000 pág.</t>
  </si>
  <si>
    <t>Tambor Konica Minolta BizHub mod C3320i - MAGENTA - IUP 36 M</t>
  </si>
  <si>
    <t>Tambor Konica Minolta BizHub mod C3320i - AMARELO - IUP 36 Y</t>
  </si>
  <si>
    <t>Caixa de residuos Konica Minolta BizHub mod C3320i - WB- PO8</t>
  </si>
  <si>
    <t>ULSPVVC</t>
  </si>
  <si>
    <t>CIM1436</t>
  </si>
  <si>
    <t>Toner p/Hplaserjet  P2055/Canon LBP6310 Ref. 505 A</t>
  </si>
  <si>
    <t>HP P2055DN</t>
  </si>
  <si>
    <t>ULSSA</t>
  </si>
  <si>
    <t>CIM1473</t>
  </si>
  <si>
    <t>CIM1469</t>
  </si>
  <si>
    <t>CIM1447</t>
  </si>
  <si>
    <t>CIM1448</t>
  </si>
  <si>
    <t>CIM1455</t>
  </si>
  <si>
    <t>CIM1456</t>
  </si>
  <si>
    <t>CIM1457</t>
  </si>
  <si>
    <t>CIM1461</t>
  </si>
  <si>
    <t>CIM1462</t>
  </si>
  <si>
    <t>CIM1463</t>
  </si>
  <si>
    <t>CIM1464</t>
  </si>
  <si>
    <t>CIM1465</t>
  </si>
  <si>
    <t>CIM1466</t>
  </si>
  <si>
    <t>CIM1475</t>
  </si>
  <si>
    <t>CIM1449</t>
  </si>
  <si>
    <t>CIM1450</t>
  </si>
  <si>
    <t>CIM1451</t>
  </si>
  <si>
    <t>CIM1453</t>
  </si>
  <si>
    <t>CIM1454</t>
  </si>
  <si>
    <t>CIM1471</t>
  </si>
  <si>
    <t>CIM1470</t>
  </si>
  <si>
    <t>CIM1472</t>
  </si>
  <si>
    <t>CIM1468</t>
  </si>
  <si>
    <t>CIM1444</t>
  </si>
  <si>
    <t>CIM1445</t>
  </si>
  <si>
    <t>CIM1474</t>
  </si>
  <si>
    <t>TONER P/A IMP. CANON 719 H (LBP 670DN)</t>
  </si>
  <si>
    <t>TONER P/A IMP. CANON 719 (LBP 670DN) - RECICLADO</t>
  </si>
  <si>
    <t>LBP 670DN</t>
  </si>
  <si>
    <t>Reciclado</t>
  </si>
  <si>
    <t>TINTEIRO HP CORES CC643FF (300)</t>
  </si>
  <si>
    <t>TONER HP P/ IMP. CE505A (RECICLADO)</t>
  </si>
  <si>
    <t>TONER HP PRETO P/A IMP. CF280A (80X) - RECICLADO</t>
  </si>
  <si>
    <t>TONER XEROX 3330 (106R03624) - CAP. SUP.</t>
  </si>
  <si>
    <t>ULSAA</t>
  </si>
  <si>
    <t>CIM1378</t>
  </si>
  <si>
    <t>CIM1379</t>
  </si>
  <si>
    <t>CIM1380</t>
  </si>
  <si>
    <t>CIM1381</t>
  </si>
  <si>
    <t>CIM1382</t>
  </si>
  <si>
    <t>CIM1383</t>
  </si>
  <si>
    <t>CIM1384</t>
  </si>
  <si>
    <t>CIM1385</t>
  </si>
  <si>
    <t>CIM1386</t>
  </si>
  <si>
    <t>CIM1387</t>
  </si>
  <si>
    <t>CIM1388</t>
  </si>
  <si>
    <t>CIM1389</t>
  </si>
  <si>
    <t>CIM1390</t>
  </si>
  <si>
    <t>CIM1392</t>
  </si>
  <si>
    <t>HL-L3230CDW</t>
  </si>
  <si>
    <t>TAMBOR DE IMAGEM BROTHER HL-L3230CDW</t>
  </si>
  <si>
    <t>CORREIA BROTHER  HL-L3230CDW</t>
  </si>
  <si>
    <t>TONER PRETO BROTHER  HL-L3230CDW</t>
  </si>
  <si>
    <t>TONER AMARELO BROTHER  HL-L3230CDW</t>
  </si>
  <si>
    <t>TONER MANGETA BROTHER  HL-L3230CDW</t>
  </si>
  <si>
    <t>TONER CIANO BROTHER  HL-L3230CDW</t>
  </si>
  <si>
    <t>TONER PRETO LEXMARK CX622ADE</t>
  </si>
  <si>
    <t>TONER COR MAGENTA LEXMARK CX622ADE</t>
  </si>
  <si>
    <t>TONER COR CIANO LEXMARK CX622ADE</t>
  </si>
  <si>
    <t>TONER COR AMARELO LEXMARK CX622ADE</t>
  </si>
  <si>
    <t>TAMBOR DE IMAGEM CORES LEXMARK CX622ADE</t>
  </si>
  <si>
    <t>TAMBOR DE IMAGEM PRETO LEXMARK CX622ADE</t>
  </si>
  <si>
    <t>CAIXA DE RESIDUOS LEXMARK CX622ADE</t>
  </si>
  <si>
    <t>CASSETE DE FITA PARA IMPRESSORA SARTORIUS YDP20-OCE</t>
  </si>
  <si>
    <t>SARTORIUS</t>
  </si>
  <si>
    <t>YDP20-OCE</t>
  </si>
  <si>
    <t>ULSSJOSE</t>
  </si>
  <si>
    <t>ULSVDL</t>
  </si>
  <si>
    <t>ULSAS</t>
  </si>
  <si>
    <t>7 000 pág.</t>
  </si>
  <si>
    <t>12 500 pág.</t>
  </si>
  <si>
    <t>15 000 pág.</t>
  </si>
  <si>
    <t>TONER HP P/ IMP. Q2613 X</t>
  </si>
  <si>
    <t>480 pág.</t>
  </si>
  <si>
    <t>Officejet Pro 6230</t>
  </si>
  <si>
    <t>Deskjet  6122</t>
  </si>
  <si>
    <t>I-SENSYS - LBP212DW</t>
  </si>
  <si>
    <t>Epson DiscProdecr PP 100 II</t>
  </si>
  <si>
    <t>12 000 pág.</t>
  </si>
  <si>
    <t>6 500 pág.</t>
  </si>
  <si>
    <t>90 000 pág.</t>
  </si>
  <si>
    <t>25 000 pág.</t>
  </si>
  <si>
    <t>2 800 Pág.</t>
  </si>
  <si>
    <t>9 000 pág.</t>
  </si>
  <si>
    <t>36 000 pág.</t>
  </si>
  <si>
    <t>1 000 Pág</t>
  </si>
  <si>
    <t>1 350 pág.</t>
  </si>
  <si>
    <t>13 000 pág.</t>
  </si>
  <si>
    <t>1 600 pág.</t>
  </si>
  <si>
    <t>2 000 pág.</t>
  </si>
  <si>
    <t>25 000 pág</t>
  </si>
  <si>
    <t xml:space="preserve">26 ml </t>
  </si>
  <si>
    <t>28 000 pág.</t>
  </si>
  <si>
    <t>20 000 pág.</t>
  </si>
  <si>
    <t>3 100 pág.</t>
  </si>
  <si>
    <t>3 200 pág.</t>
  </si>
  <si>
    <t>60 000 pág.</t>
  </si>
  <si>
    <t>8 000 pág</t>
  </si>
  <si>
    <t>8 000 pág.</t>
  </si>
  <si>
    <t>27 ml</t>
  </si>
  <si>
    <t>400 pág.</t>
  </si>
  <si>
    <t>10 000 pág.</t>
  </si>
  <si>
    <t>4 100 pág.</t>
  </si>
  <si>
    <t>23 000 pág.</t>
  </si>
  <si>
    <t>9 200 pág.</t>
  </si>
  <si>
    <t>7 600 pág.</t>
  </si>
  <si>
    <t>5 900 pág.</t>
  </si>
  <si>
    <t>5 000 pág.</t>
  </si>
  <si>
    <t>PANTUM</t>
  </si>
  <si>
    <t>DRUM KIT P/IMP PANTUM P3010DW - DL-410</t>
  </si>
  <si>
    <t>PANTUM P3010DW</t>
  </si>
  <si>
    <t>PANTUM P3010DW - DL-410</t>
  </si>
  <si>
    <t>ZEBRA ZD421</t>
  </si>
  <si>
    <t>ZEBRA ZD421C</t>
  </si>
  <si>
    <t>EPSON C5790</t>
  </si>
  <si>
    <t>ECOTANK ET-2810</t>
  </si>
  <si>
    <t>LEXMARK MX331</t>
  </si>
  <si>
    <t>LEXMARK MX521</t>
  </si>
  <si>
    <t>LEXMARK MS510DN</t>
  </si>
  <si>
    <t>104 EcoTank Cyan ink bottle (WE) (65 ml)</t>
  </si>
  <si>
    <t>ECOTANK ET-4810</t>
  </si>
  <si>
    <t>104 EcoTank Black ink bottle (WE) (65 ml)</t>
  </si>
  <si>
    <t>104 EcoTank Magenta ink bottle (WE) (65 ml)</t>
  </si>
  <si>
    <t>104 EcoTank Yellow ink bottle (WE) (65 ml)</t>
  </si>
  <si>
    <t>EPSON FX 890</t>
  </si>
  <si>
    <t>HP LASERJET 2055/PRO400</t>
  </si>
  <si>
    <t>HP LASERJET PRO M 402DN</t>
  </si>
  <si>
    <t>Lexmark MS312</t>
  </si>
  <si>
    <t>Lexmark MS312 50F0Z00 (Unidade Imagem)</t>
  </si>
  <si>
    <t>Lexmark MS331 55B2H00</t>
  </si>
  <si>
    <t>Lexmark MS331</t>
  </si>
  <si>
    <t>Lexmark MS331 55B0ZA0 (Unidade Imagem)</t>
  </si>
  <si>
    <t xml:space="preserve">Lexmark MS321 56F2H00 </t>
  </si>
  <si>
    <t>Lexmark MS321</t>
  </si>
  <si>
    <t>Lexmark MS321 DR56F0Z00 (Unidade Imagem)</t>
  </si>
  <si>
    <t>Lexmark MS322</t>
  </si>
  <si>
    <t>Lexmark MX310</t>
  </si>
  <si>
    <t>Lexmark MX310 50F0Z00 (Unidade Imagem)</t>
  </si>
  <si>
    <t>Lexmark MX311</t>
  </si>
  <si>
    <t>HP PRO MFP HT-CE255X(P)</t>
  </si>
  <si>
    <t>HP PRO MFP</t>
  </si>
  <si>
    <t xml:space="preserve">950 XL </t>
  </si>
  <si>
    <t>53 ml</t>
  </si>
  <si>
    <t>951XL M</t>
  </si>
  <si>
    <t>951XL A</t>
  </si>
  <si>
    <t>Tambor lexmark MS431dn</t>
  </si>
  <si>
    <t>55B0ZA0</t>
  </si>
  <si>
    <t>40 000 pág.</t>
  </si>
  <si>
    <t>Toner lexmark MS431dn</t>
  </si>
  <si>
    <t>55B0XA0</t>
  </si>
  <si>
    <t>ICAD</t>
  </si>
  <si>
    <t>ULSETEJO</t>
  </si>
  <si>
    <t>Drum HP Laser 32A Preto Pro M203/M220/M227 23.000P</t>
  </si>
  <si>
    <t>Toner Goodsprint HP Laserjet M552/553 508x Amarelo 7850p</t>
  </si>
  <si>
    <t>Toner Goodsprint HP Laserjet M552/553 508x Magenta 7850p</t>
  </si>
  <si>
    <t>ULSG</t>
  </si>
  <si>
    <t>HL 2250 DN</t>
  </si>
  <si>
    <t>M1145</t>
  </si>
  <si>
    <t>C4150</t>
  </si>
  <si>
    <t>CX825</t>
  </si>
  <si>
    <t>ZD421</t>
  </si>
  <si>
    <t>ZD422</t>
  </si>
  <si>
    <t xml:space="preserve">Toner 2055 dn  </t>
  </si>
  <si>
    <t>M452DN</t>
  </si>
  <si>
    <t>Office Jet PRO 6230</t>
  </si>
  <si>
    <t>CS431-CX431</t>
  </si>
  <si>
    <t>MX310D</t>
  </si>
  <si>
    <t>MX310DN</t>
  </si>
  <si>
    <t>MS331DN</t>
  </si>
  <si>
    <t>MS312PN</t>
  </si>
  <si>
    <t>MS321DN</t>
  </si>
  <si>
    <t>X922</t>
  </si>
  <si>
    <t>P3145DN</t>
  </si>
  <si>
    <t>Ecosys P2235DN</t>
  </si>
  <si>
    <t>Ecosys M2040DN</t>
  </si>
  <si>
    <t>B430DN</t>
  </si>
  <si>
    <t>B412/B432/B512/MB492/MB563</t>
  </si>
  <si>
    <t>B4400</t>
  </si>
  <si>
    <t>B4600</t>
  </si>
  <si>
    <t>CB436A</t>
  </si>
  <si>
    <t>Q7553X</t>
  </si>
  <si>
    <t>505A</t>
  </si>
  <si>
    <t>505X</t>
  </si>
  <si>
    <t>preto matte</t>
  </si>
  <si>
    <t>preto fotográfico</t>
  </si>
  <si>
    <t>cinzento</t>
  </si>
  <si>
    <t>amarelo</t>
  </si>
  <si>
    <t>azul</t>
  </si>
  <si>
    <t>magenta</t>
  </si>
  <si>
    <t>CF410X</t>
  </si>
  <si>
    <t>CF412X</t>
  </si>
  <si>
    <t>CF411X</t>
  </si>
  <si>
    <t>CF413X</t>
  </si>
  <si>
    <t>56F2000</t>
  </si>
  <si>
    <t>66S0Z00</t>
  </si>
  <si>
    <t>55B2XOE</t>
  </si>
  <si>
    <t>51F2HOE</t>
  </si>
  <si>
    <t>76C00K00</t>
  </si>
  <si>
    <t>56F2HOE</t>
  </si>
  <si>
    <t>76C00Y00</t>
  </si>
  <si>
    <t>76C00C0</t>
  </si>
  <si>
    <t>76C00M0</t>
  </si>
  <si>
    <t>TK-1160</t>
  </si>
  <si>
    <t>TK-1170</t>
  </si>
  <si>
    <t>Fotocondutor  56f0z00 lexmark</t>
  </si>
  <si>
    <t>Fotocondutor 500z lexmark</t>
  </si>
  <si>
    <t>MS310d,MS310dn,MS410</t>
  </si>
  <si>
    <t>C332/M363,</t>
  </si>
  <si>
    <t>SIM</t>
  </si>
  <si>
    <t>Toner q2612a</t>
  </si>
  <si>
    <t>1022N/1015</t>
  </si>
  <si>
    <t>Toner 45807102 oki</t>
  </si>
  <si>
    <t>B432dn</t>
  </si>
  <si>
    <t>Toner 46508713 - yellow oki</t>
  </si>
  <si>
    <t>C332/M363</t>
  </si>
  <si>
    <t>Toner 502he lexmark</t>
  </si>
  <si>
    <t>MS310d/312/315/410/415/510/610</t>
  </si>
  <si>
    <t>C610</t>
  </si>
  <si>
    <t>Tambor 44574302 oki</t>
  </si>
  <si>
    <t xml:space="preserve">B432dn  </t>
  </si>
  <si>
    <t xml:space="preserve"> Laserjet CP3525, CM3530</t>
  </si>
  <si>
    <t>C332EP C3x1/C5x1/MC3x2/MC562</t>
  </si>
  <si>
    <t xml:space="preserve"> C610</t>
  </si>
  <si>
    <t>Toner 56f2h0e lexmark</t>
  </si>
  <si>
    <t xml:space="preserve"> MS321dn /421/521/621/622</t>
  </si>
  <si>
    <t>Toner 55b2h00 lexmark</t>
  </si>
  <si>
    <t xml:space="preserve">PP-100III </t>
  </si>
  <si>
    <t>Laserjet 1160/1320</t>
  </si>
  <si>
    <t>ZD420t / ZD500 /  GC420t / GT800 / TLP2844 / TLP2844-Z / TLP3842 / TLP3844-Z﻿ </t>
  </si>
  <si>
    <t>ZD230T / ZD621T / ﻿ ZD500 / ZD620t / GC420t / GK420t /  TLP2844 / TLP2844-Z / TLP3842 / TLP3844-Z﻿.﻿</t>
  </si>
  <si>
    <t>49A</t>
  </si>
  <si>
    <t>03200GSM11007</t>
  </si>
  <si>
    <t>ULSRA</t>
  </si>
  <si>
    <t>HL-L2310D/DCP-L2110D/MFC-L2710DN</t>
  </si>
  <si>
    <t>HL-L2310D</t>
  </si>
  <si>
    <t>AL-MX300/AL-M300DN</t>
  </si>
  <si>
    <t>Toner epson workforce al-m200dn</t>
  </si>
  <si>
    <t>AL-M200DN</t>
  </si>
  <si>
    <t>AL-MX300</t>
  </si>
  <si>
    <t>P2035/P2055</t>
  </si>
  <si>
    <t>1010/1012/1015/1018/3050/3055</t>
  </si>
  <si>
    <t>P2014/P2015/M2727</t>
  </si>
  <si>
    <t>Tambor lexmark ms310d,dn/ms312dn/ms410d,dn/ms415dn/ms510dn/ms610de (500z/500za)</t>
  </si>
  <si>
    <t>Toner lexmark ms310d,dn/ms312,ms410d,dn/ms510dn/ms610de,dn,dte (502h/502he)</t>
  </si>
  <si>
    <t>Toner lexmark MS331DN</t>
  </si>
  <si>
    <t>B411/B412/B431/B432/B512/MB461/MB471/MB491/MB472/MB492/MB562</t>
  </si>
  <si>
    <t>B412/B432/B512/MB472/MB492/MB562</t>
  </si>
  <si>
    <t>deskjet/photosmart</t>
  </si>
  <si>
    <t>HP ENVY</t>
  </si>
  <si>
    <t>HP OFFICE JET</t>
  </si>
  <si>
    <t>HP OFFICEJET 3830</t>
  </si>
  <si>
    <t>E260d</t>
  </si>
  <si>
    <t>C3200N</t>
  </si>
  <si>
    <t>ROLAND</t>
  </si>
  <si>
    <t>TRUEVIS SG3-540</t>
  </si>
  <si>
    <t>UTAX</t>
  </si>
  <si>
    <t>P-4020DN</t>
  </si>
  <si>
    <t>DCP J4110DW</t>
  </si>
  <si>
    <t>CODONICS</t>
  </si>
  <si>
    <t>VIRTUA</t>
  </si>
  <si>
    <t>LQ 870</t>
  </si>
  <si>
    <t>LQ-350</t>
  </si>
  <si>
    <t>LX300/300+/400/800/FX800</t>
  </si>
  <si>
    <t>LX-350</t>
  </si>
  <si>
    <t>PJMB100</t>
  </si>
  <si>
    <t xml:space="preserve">TONER KYOCERA ECOSYS M 2040 DN /M 2540 DN                                       </t>
  </si>
  <si>
    <t>TONER P/IMPRESSORA LEXMARK MS 310/510 DN / MS312</t>
  </si>
  <si>
    <t>B4250 / B4350</t>
  </si>
  <si>
    <t>C5650</t>
  </si>
  <si>
    <t>E321/E323</t>
  </si>
  <si>
    <t>LASERJET P1505 / M1120 MFP / M1522 MFP</t>
  </si>
  <si>
    <t>LASERJET PRO 4002DN</t>
  </si>
  <si>
    <t>LASERJET PRO M255DW</t>
  </si>
  <si>
    <t>M3820ND</t>
  </si>
  <si>
    <t>MICROLINE 1190</t>
  </si>
  <si>
    <t>MICROLINE 5590</t>
  </si>
  <si>
    <t>MS/MX 521,622; MX522;MS621</t>
  </si>
  <si>
    <t>MS/MX321,421,521,622, MS621; MX522</t>
  </si>
  <si>
    <t>MS410d</t>
  </si>
  <si>
    <t>MX310</t>
  </si>
  <si>
    <t>MX331</t>
  </si>
  <si>
    <t>MX521</t>
  </si>
  <si>
    <t>P-4020 DN</t>
  </si>
  <si>
    <t>S600/S4M/ZT230</t>
  </si>
  <si>
    <t>Série MS/MX</t>
  </si>
  <si>
    <t>x464de</t>
  </si>
  <si>
    <t>HP 1320</t>
  </si>
  <si>
    <t>HP 1015</t>
  </si>
  <si>
    <t>HP 400/M401</t>
  </si>
  <si>
    <t>HP LASER 408dn</t>
  </si>
  <si>
    <t>ULSLOD</t>
  </si>
  <si>
    <t>Toner P/IMP. HP 1015 REF. Q2612A</t>
  </si>
  <si>
    <t>Toner P/ IMP. HP LASER JET PRO 400/M401 REF.CF280X</t>
  </si>
  <si>
    <t xml:space="preserve">Toner HP LASER 408 dn PRINTER W1331A/X </t>
  </si>
  <si>
    <t>Toner IMPRES HP LASERJET 2055/PRO400 505X</t>
  </si>
  <si>
    <t>Toner IMPRES HP LASERJET PRO M 402DN 226X</t>
  </si>
  <si>
    <t>Toner TL-410X P/IMP. PANTUM P3010DW</t>
  </si>
  <si>
    <t>Toner BROTHER TN3480 EQ BROTHER HL-L5100 DN</t>
  </si>
  <si>
    <t>Toner HP 78A(CE278A)</t>
  </si>
  <si>
    <t>Toner HP LASER JET CF230X</t>
  </si>
  <si>
    <t>Toner HP LASERJET 149A - W1490A</t>
  </si>
  <si>
    <t>Toner HP LASERJET PRO M118 DWE</t>
  </si>
  <si>
    <t>Toner LEXMARK 12A7400 (P/ E321/E323)</t>
  </si>
  <si>
    <t>Toner HP LASERJET P1505 / M1120 MFP / M1522 MFP</t>
  </si>
  <si>
    <t>Toner LEXMARK MS/MX321,421,521,622, MS621; MX522</t>
  </si>
  <si>
    <t>Fita p/ Impressora Zebra resina  65x74m</t>
  </si>
  <si>
    <t>Toner p/Impressora epson al-m200</t>
  </si>
  <si>
    <t>Toner (602he) Impressora lexmark mx310/410/510/511/611</t>
  </si>
  <si>
    <t>Toner (55b2h0e) Impressora lexmark ms/mx331adn/ms331d</t>
  </si>
  <si>
    <t>Tambor p/ Impressora ms312dn</t>
  </si>
  <si>
    <t>Toner P/Impressora HP LJ 1102</t>
  </si>
  <si>
    <t>Toner p/Impressora hp laserjet pro 400 / m 401 dn</t>
  </si>
  <si>
    <t>Toner P/Impressora LEXMARK E260</t>
  </si>
  <si>
    <t>Toner P/ImpressoraS HP LASERJET PRO 4002DN</t>
  </si>
  <si>
    <t>Toner P/Impressora UTAX P-4020 DN (PK-1011)</t>
  </si>
  <si>
    <t>Tambor Preto Ref. OKI 44574302 P/Impress. OKI MOD. B432</t>
  </si>
  <si>
    <t>Kit de Tambor 44968301 oki</t>
  </si>
  <si>
    <t>Tambor P/ Impressora  BROTHER HL2250 DN (REF DR 2200)</t>
  </si>
  <si>
    <t>Tambor OKI 4250/4350N</t>
  </si>
  <si>
    <t>Tambor P/ Impressora UTAX P-4020 DN / KYOCERA ECOSYS 2040 DN</t>
  </si>
  <si>
    <t>Fita IMP EPSON LQ 870 ( S015021 )</t>
  </si>
  <si>
    <t>Fita EPSON LQ-350</t>
  </si>
  <si>
    <t>Fita EPSON S015019 (LX300/300+/400/800/FX800)</t>
  </si>
  <si>
    <t>Fita P/Impressora EPSON LX-350</t>
  </si>
  <si>
    <t>Fita P/ Impressora OKI MICROLINE 1190</t>
  </si>
  <si>
    <t>Fita OKI MICROLINE 5520/5521/5590/5591</t>
  </si>
  <si>
    <t>Fita ZEBRA 110X450MM</t>
  </si>
  <si>
    <t>Toner HP LaserJet Original 203X - CF541X</t>
  </si>
  <si>
    <t>Toner HP LaserJet Original 203X - CF540X</t>
  </si>
  <si>
    <t>Toner HP Magenta 203X CF543X</t>
  </si>
  <si>
    <t>Toner HP Yellow 203X - CF542X</t>
  </si>
  <si>
    <t>LASERJET PRO M118 DWE</t>
  </si>
  <si>
    <t>Yellow 203X - CF542X</t>
  </si>
  <si>
    <t>LaserJet Original 203X - CF540X</t>
  </si>
  <si>
    <t>LaserJet Original 203X - CF541X</t>
  </si>
  <si>
    <t>Magenta 203X CF543X</t>
  </si>
  <si>
    <t>MS310/410/510/610/611 60</t>
  </si>
  <si>
    <t>Laser 32A Preto Pro M203/M220/M227 23.000P</t>
  </si>
  <si>
    <t>Laserjet M552/553 508x Amarelo 7850p</t>
  </si>
  <si>
    <t>Laserjet M552/553 508x Magenta 7850p</t>
  </si>
  <si>
    <t xml:space="preserve">HL-L2360DN - TN2320 </t>
  </si>
  <si>
    <t>HL-L2360DN (DR2300)</t>
  </si>
  <si>
    <t>Fita Transferencia Termica CERA/RESINA P/IMP. ZEBRA ZD421, 33MM X 74MTS</t>
  </si>
  <si>
    <t>Fita Transferencia Termica CERA/RESINA P/IMP. ZEBRA ZD421C, 110MM X 74MTS</t>
  </si>
  <si>
    <t>designação do Artigo</t>
  </si>
  <si>
    <t>CX922de</t>
  </si>
  <si>
    <t xml:space="preserve">deSKJET 2620 COR     </t>
  </si>
  <si>
    <t xml:space="preserve">Toner LEXMARK MX521 de (56F2U00) (CENTROS SAUde)                                </t>
  </si>
  <si>
    <t>MX521 de</t>
  </si>
  <si>
    <t>deskjet7410</t>
  </si>
  <si>
    <t>MS310D,DN/MS312DN/MS410D,DN/MS415DN/MS510DN/MS610de</t>
  </si>
  <si>
    <t>MS310D,DN/MS312,MS410D,DN/MS510DN/MS610de,DN,DTE</t>
  </si>
  <si>
    <t>deSKJET 1010</t>
  </si>
  <si>
    <t>MS521 DN / MS622 de/ MX521Ade</t>
  </si>
  <si>
    <t xml:space="preserve"> MX521de</t>
  </si>
  <si>
    <t xml:space="preserve">Unidade Imagem LEXMARK MX331 (55B0ZA0) (CENTROS SAUde)                          </t>
  </si>
  <si>
    <t xml:space="preserve">Unidade Imagem LEXMARK MX521 (56F0Z00) (CENTROS SAUde)                          </t>
  </si>
  <si>
    <t xml:space="preserve">Unidade Imagem LEXMARK 500ZA MS510DN  (50F0Z00) (CENTROS SAUde)                 </t>
  </si>
  <si>
    <t>Tambor Imagem p/Impressora oki b412/b432/b562/mb472/mb492/mb562</t>
  </si>
  <si>
    <t>Tambor Imagem Impressora LEXMARK MS321/421/621 MX521 60K</t>
  </si>
  <si>
    <t>Unidade de Imagem Lexmark MS310/410/510/610/611 60</t>
  </si>
  <si>
    <t>Unidade de Imagem lexmark MS/MX331,431,B3340,B/MB3442,M/XM1342</t>
  </si>
  <si>
    <t>Unidade de Imagem P/Impressora LEXMARK MS/MX 31X, 41X, 51X, 61X</t>
  </si>
  <si>
    <t>Unidade de Imagem LEXMARK 55B0ZA0 MS331DN                   </t>
  </si>
  <si>
    <t>Toner para BROTHER HL 2250 DN (TN 2210)</t>
  </si>
  <si>
    <t>Toner 24B6035 para Impressora LEXMARK M1145,MX1145</t>
  </si>
  <si>
    <t>Unidade de Imagem 24B6040 para Impressora LEXMARK M1145,MX1145</t>
  </si>
  <si>
    <t>KIT de Manutenção 40X8282 para Impressora LEXMARK M1145,MX1145</t>
  </si>
  <si>
    <t>Toner 24B6517 para LEXMARK C4150</t>
  </si>
  <si>
    <t>Tambor COMPATIVEL para AS ImpressoraS OKI B 840 DN</t>
  </si>
  <si>
    <t>Toner para Impressora LEXMARK MS/MX 521,622; MX522;MS621</t>
  </si>
  <si>
    <t>Tambor para Impressora LEXMARK MS521 DN / MS622 de/ MX521Ade</t>
  </si>
  <si>
    <t>KIT Cabeça de Impressão (PRINTHEAD) 203 DPI para Impressora ZEBRA ZD421D P/N: P1112640-019</t>
  </si>
  <si>
    <t>KIT Rolo de Impressão (PLATEN ROLLER) 203 DPI para Impressora ZEBRA ZD421D P/N:P1112640-062</t>
  </si>
  <si>
    <t xml:space="preserve">Recipiente Residuos KONICA C300I (AAVA041) WX 107 ( CENTROS SAUde)              </t>
  </si>
  <si>
    <t xml:space="preserve">Recipiente de Residuos X792                                                     </t>
  </si>
  <si>
    <t>Recipiente Residuos Toner P/ LEXMARK C534N</t>
  </si>
  <si>
    <t>Unidade Fotocondutora P/ LEXMARK C53X (PACK 4)</t>
  </si>
  <si>
    <t>Recipiente Residuos de Toner P/ Impressora HP Color LASER JET ENTERPRISE M553</t>
  </si>
  <si>
    <t>Color LASER JET ENTERPRISE M553</t>
  </si>
  <si>
    <t>Color LASERJET ENTREPRISE M553</t>
  </si>
  <si>
    <t>Toner Preto c4050i/c3350i konica</t>
  </si>
  <si>
    <t>Preto, 934XL</t>
  </si>
  <si>
    <t xml:space="preserve">Toner KONICA C300I (AAV8150) TN-328 Preto (CENTROS SAUde)                       </t>
  </si>
  <si>
    <t xml:space="preserve">ECOTANK 111 ET1180 Preto  </t>
  </si>
  <si>
    <t>Tinteiro Preto hp office jet 8100</t>
  </si>
  <si>
    <t>Toner q7553a - Preto</t>
  </si>
  <si>
    <t>Tinteiro c8767ee (hp 339) - Preto</t>
  </si>
  <si>
    <t>Toner 46508716 - Preto oki</t>
  </si>
  <si>
    <t>Toner 44315308 - Preto oki</t>
  </si>
  <si>
    <t>Toner ce250a - Preto hp</t>
  </si>
  <si>
    <t>Tinteiro Preto ref. Pjic6</t>
  </si>
  <si>
    <t>Toner Preto b432/b512/mb492/mb562 oki</t>
  </si>
  <si>
    <t>Toner Preto 56F2X0E (MS321dn)</t>
  </si>
  <si>
    <t>Toner LEXMARK MS410D Preto 50F2H0E</t>
  </si>
  <si>
    <t>Toner LEXMARK MS312PN Preto</t>
  </si>
  <si>
    <t>Toner HP Preto CE505A</t>
  </si>
  <si>
    <t>Toner BROTHER Preto TN-2120</t>
  </si>
  <si>
    <t>Toner HP Preto CF280A</t>
  </si>
  <si>
    <t>Toner HP CF360X - LASERJET 508X Preto</t>
  </si>
  <si>
    <t>Toner HP 59A PRO M304/M404 Preto</t>
  </si>
  <si>
    <t>Toner LEXMARK E260A11E Preto</t>
  </si>
  <si>
    <t>Toner LEXMARK 55B2H0E MX331ADN Preto ADN</t>
  </si>
  <si>
    <t>LEXMARK 55B2H0E MX331ADN Preto ADN</t>
  </si>
  <si>
    <t>Toner LEXMARK MS321DN Preto 56F2H0E</t>
  </si>
  <si>
    <t>LEXMARK MS321DN Preto 56F2H0E</t>
  </si>
  <si>
    <t>Toner LEXMARK MX310D 602H Preto 60F2HOE</t>
  </si>
  <si>
    <t>MX310D 602H Preto 60F2HOE</t>
  </si>
  <si>
    <t>Toner hp laser jet pro 400 Preto</t>
  </si>
  <si>
    <t>Toner para Impressora LEXMARK CX825 Preto REF.ª 72K20K0</t>
  </si>
  <si>
    <t>Tambor brother hl-l2310d/dcp-l2110d/mfc-l2710dn (dr-2400) - Preto</t>
  </si>
  <si>
    <t>Toner brother hl-l2310d (tn-2420) - Preto</t>
  </si>
  <si>
    <t>Toner epson al-mx300/al-m300dn - Preto</t>
  </si>
  <si>
    <t>Unidade Fotocondutora epson al-mx300 - Preto</t>
  </si>
  <si>
    <t>Toner hp 05a p2035/p2055 (ce505a) - Preto</t>
  </si>
  <si>
    <t>Toner hp 12a -1010/1012/1015/1018/3050/3055 (q2612a) - Preto</t>
  </si>
  <si>
    <t>Toner hp 53x - p2014/p2015/m2727 (q7553x) - Preto</t>
  </si>
  <si>
    <t>Tambor oki b411/b412/b431/b432/b512/mb461/mb471/mb491/mb472/mb492/mb562 - Preto</t>
  </si>
  <si>
    <t>Toner oki b412/b432/b512/mb472/mb492/mb562 - Preto</t>
  </si>
  <si>
    <t>Toner OKI C3200/C3200N Preto</t>
  </si>
  <si>
    <t>Toner P/Impressora HP Color LASERJET ENTREPRISE M553 - Preto</t>
  </si>
  <si>
    <t>Toner P/ Impressora HP LASERJET PRO M255DW Preto</t>
  </si>
  <si>
    <t>Toner SAMSUNG M3820ND MLT-D203E Preto</t>
  </si>
  <si>
    <t>Toner LEXMARK MS410D Preto</t>
  </si>
  <si>
    <t>Toner LEXMARK MX331 Preto DN / MS331</t>
  </si>
  <si>
    <t>Unidade de Imagem 56F0ZA0 LEXMARK MX521de Preto             </t>
  </si>
  <si>
    <t>Toner Amarelo c4050i/c3350i konica</t>
  </si>
  <si>
    <t>Amarelo, 935XL</t>
  </si>
  <si>
    <t>Tinteiro Amarelo hp office jet 8100</t>
  </si>
  <si>
    <t>Toner 44315305 - Amarelo oki</t>
  </si>
  <si>
    <t>Toner ce252a - Amarelo hp</t>
  </si>
  <si>
    <t>Tinteiro Amarelo ref.pjic5</t>
  </si>
  <si>
    <t>Toner HP CF362X - LASERJET 508X Amarelo</t>
  </si>
  <si>
    <t>Toner para Impressora LEXMARK CX825 Amarelo REF.ª 82K2HYE</t>
  </si>
  <si>
    <t>Toner P/Impressora HP Color LASERJET ENTREPRISE M553 - Amarelo</t>
  </si>
  <si>
    <t>Toner P/ Impressora HP LASERJET PRO M255DW Amarelo</t>
  </si>
  <si>
    <t>Magenta, 935XL</t>
  </si>
  <si>
    <t xml:space="preserve">Toner KONICA C300I (AAV8350) TN-328 Magenta (CENTROS SAUde)                     </t>
  </si>
  <si>
    <t>Tinteiro Magenta hp office jet 8100</t>
  </si>
  <si>
    <t>Toner 46508714 - Magenta oki</t>
  </si>
  <si>
    <t>Toner 44315306 - Magenta oki</t>
  </si>
  <si>
    <t>Toner ce253a - Magenta hp</t>
  </si>
  <si>
    <t>Tinteiro Magenta claro ref.pjic3</t>
  </si>
  <si>
    <t>Tinteiro Magenta ref.pjic4</t>
  </si>
  <si>
    <t>Toner HP CF363X - LASERJET 508X Magenta</t>
  </si>
  <si>
    <t>Toner para Impressora LEXMARK CX825 Magenta REF.ª 82K2HME</t>
  </si>
  <si>
    <t>Toner OKI C3200N Magenta</t>
  </si>
  <si>
    <t>Toner P/Impressora HP Color LASERJET ENTREPRISE M553 - Magenta</t>
  </si>
  <si>
    <t>Toner P/ Impressora HP LASERJET PRO M255DW Magenta</t>
  </si>
  <si>
    <t>Tinteiro Ciano claro ref.pjic2</t>
  </si>
  <si>
    <t>Tinteiro Ciano ref. Pjic1</t>
  </si>
  <si>
    <t>Toner para Impressora LEXMARK CX825 Ciano REF.ª 72K20C0</t>
  </si>
  <si>
    <t>Toner P/Impressora HP Color LASERJET ENTREPRISE M553 - Ciano</t>
  </si>
  <si>
    <t>Toner P/ Impressora HP LASERJET PRO M255DW Ciano</t>
  </si>
  <si>
    <t>Toner hp ce251a - Azul</t>
  </si>
  <si>
    <t>Toner HP CF361X - LASERJET 508X Azul</t>
  </si>
  <si>
    <t xml:space="preserve">Tinteiro EPSON ECOTANK 104 ET2811 MULTICOR                                      </t>
  </si>
  <si>
    <t>Tinteiro Amarelo para Impressora BROTHER DCP J4110DW</t>
  </si>
  <si>
    <t>Tinteiro Ciano para Impressora BROTHER DCP J4110DW</t>
  </si>
  <si>
    <t>Tinteiro Magenta para Impressora BROTHER DCP J4110DW</t>
  </si>
  <si>
    <t>Tinteiro Preto para Impressora BROTHER DCP J4110DX</t>
  </si>
  <si>
    <t>Tinteiro HP 301 XL Preto (CH563EE)</t>
  </si>
  <si>
    <t>Tinteiro HP 301 XL TRIColor (CH564EE)</t>
  </si>
  <si>
    <t>Tinteiro HP (C6578AE)</t>
  </si>
  <si>
    <t>Tinteiro HP 303XL COR</t>
  </si>
  <si>
    <t>Tinteiro HP 303XL Preto</t>
  </si>
  <si>
    <t>Tinteiro HP Preto 45 (51645AE)</t>
  </si>
  <si>
    <t>Tinteiro P/Impressora HP OFFICEJET 3830 - COR</t>
  </si>
  <si>
    <t>Tinteiro P/Impressora HP OFFICEJET 3830 - Preto</t>
  </si>
  <si>
    <t>Tinteiro Amarelo 500ML P/ PLOTTER ECOSOLVENTE ROLAND TRUEVIS SG3-540(TR2-YE)</t>
  </si>
  <si>
    <t>Tinteiro Ciano 500ML P/ PLOTTER ECOSOLVENTE ROLAND TRUEVIS SG3-540(TR2-CY)</t>
  </si>
  <si>
    <t>Tinteiro Magenta 500ML P/ PLOTTER ECOSOLVENTE ROLAND TRUEVIS SG3-540(TR2-MG)</t>
  </si>
  <si>
    <t>Tinteiro Preto 500ML P/ PLOTTER ECOSOLVENTE ROLAND TRUEVIS SG3-540(TR2-BK)</t>
  </si>
  <si>
    <t>Unidade Reveladora Amarelo KYOCERA M5521CDN</t>
  </si>
  <si>
    <t>Unidade Reveladora Magenta KYOCERA M5521CDN</t>
  </si>
  <si>
    <t>Fusor Impressora OKI C5650</t>
  </si>
  <si>
    <t>Fusor para LEXMARK MX310</t>
  </si>
  <si>
    <t>Fusor para LEXMARK MX331</t>
  </si>
  <si>
    <t>Fusor para LEXMARK MX521</t>
  </si>
  <si>
    <t>Fita de Carbono 110mmx74m para Impressora zebra</t>
  </si>
  <si>
    <t>Fita Carbono 110 mm x 74 m Impressora zebra gk420t</t>
  </si>
  <si>
    <t>Fita de Carbono 110MMX74M para Impressora ZEBRA</t>
  </si>
  <si>
    <t>Tinteiro de Manutencao EPSON PJMB100</t>
  </si>
  <si>
    <t>KIT Fotocondutor E260X22GP Impressora LEXMARK</t>
  </si>
  <si>
    <t>Toner Cyan c400v dnm xerox</t>
  </si>
  <si>
    <t>Cyan, 935XL</t>
  </si>
  <si>
    <t>Toner 46508715 - Cyan oki</t>
  </si>
  <si>
    <t>Toner 44315307 - Cyan oki</t>
  </si>
  <si>
    <t>Unidade Reveladora Cyan KYOCERA M5521CDN</t>
  </si>
  <si>
    <t>Tinteiro Robot CDS - CODONICS VIRTUA</t>
  </si>
  <si>
    <t>Botão de Avanço para Impressora ZEBRA GK420T (ZEBRA PRINTER FEED SWITCH) P/N:P105934-075</t>
  </si>
  <si>
    <t>Fonte de Alimentação para Impressora ZEBRA GK420T</t>
  </si>
  <si>
    <t>KIT Cabeça de Impressão (PRINTHEAD) 203 DPI para Impressora ZEBRA GK420T P/N:P105934-038</t>
  </si>
  <si>
    <t>KIT Manutenção P/ EPSON ET-M1180</t>
  </si>
  <si>
    <t xml:space="preserve">Carga IMP HP deSKJET 2620 Preto                                                 </t>
  </si>
  <si>
    <t xml:space="preserve">Carga EPSON C5790 WF Preto                                                      </t>
  </si>
  <si>
    <t xml:space="preserve">Carga EPSON C5790 WF Azul                                                       </t>
  </si>
  <si>
    <t xml:space="preserve">Carga EPSON C5790 WF Magenta                                                    </t>
  </si>
  <si>
    <t xml:space="preserve">Carga EPSON C5790 WF YELLOW                                                     </t>
  </si>
  <si>
    <t>Toner Preto Ref. OKI45807102 P/Impress. OKI MOD. B432</t>
  </si>
  <si>
    <t>Toner Cor Preta Ref. LEX55B2000 P/IMPR. LEXMARK MOD. MS431</t>
  </si>
  <si>
    <t>Toner HP 1005</t>
  </si>
  <si>
    <t>Tinteiro Amarelo EPSON</t>
  </si>
  <si>
    <t>Tinteiro Magenta EPSON</t>
  </si>
  <si>
    <t>Toner Preto HP M452DN</t>
  </si>
  <si>
    <t>Toner Amarelo HP M452DN</t>
  </si>
  <si>
    <t>Toner Cyan HP M452DN</t>
  </si>
  <si>
    <t>Toner Magenta HP M452DN</t>
  </si>
  <si>
    <t>Toner P/IMP. H.P. LASER JET 1320 REF. Q5949X</t>
  </si>
  <si>
    <t>Toner Preto OKI B430DN</t>
  </si>
  <si>
    <t>Toner Preto OKI B4400</t>
  </si>
  <si>
    <t>Toner Preto OKI B4600</t>
  </si>
  <si>
    <t>Toner Preto OKI B412/B432/B512/MB492/MB563</t>
  </si>
  <si>
    <t>Tambor OKI B430DN</t>
  </si>
  <si>
    <t>Toner KYOCERA Ecosys P2235DN</t>
  </si>
  <si>
    <t>Tambor KYOCERA Ecosys M2040DN</t>
  </si>
  <si>
    <t>Toner KYOCERA Ecosys M2040DN</t>
  </si>
  <si>
    <t xml:space="preserve">Toner KYOCERA Ecosys P2235DN </t>
  </si>
  <si>
    <t>Tambor KYOCERA P3145DN</t>
  </si>
  <si>
    <t>Toner KYOCERA P3145DN</t>
  </si>
  <si>
    <t xml:space="preserve">Tambor LEXMARK MS310DN  </t>
  </si>
  <si>
    <t>Kit de Manutenção LEXMARK MX310DN</t>
  </si>
  <si>
    <t>Unidade de Imagem LEXMARK MS331DN</t>
  </si>
  <si>
    <t>Toner Preto LEXMARK MS331DN</t>
  </si>
  <si>
    <t>Toner Preto LEXMARK MS312PN</t>
  </si>
  <si>
    <t>Toner Preto LEXMARK CX922de</t>
  </si>
  <si>
    <t>Toner Preto LEXMARK MS321DN</t>
  </si>
  <si>
    <t>Unidade de Imagem LEXMARK MS321DN</t>
  </si>
  <si>
    <t>Toner Amarelo LEXMARK X922</t>
  </si>
  <si>
    <t>Toner Cyan LEXMARK X922</t>
  </si>
  <si>
    <t>Toner Magenta LEXMARK X922</t>
  </si>
  <si>
    <t>Toner LEXMARK MX310D</t>
  </si>
  <si>
    <t>Toner Magenta LEXMARK CS431-CX431</t>
  </si>
  <si>
    <t>Toner Cyan LEXMARK CS431-CX431</t>
  </si>
  <si>
    <t>Toner Amarelo LEXMARK CS431-CX431</t>
  </si>
  <si>
    <t>Toner Preto LEXMARK CS431-CX431</t>
  </si>
  <si>
    <t>Toner preto XEROX Phaser 3635 MFP</t>
  </si>
  <si>
    <t>Toner Preto HP Office Jet PRO 6230</t>
  </si>
  <si>
    <t>Toner Magenta HP Office Jet PRO 6230</t>
  </si>
  <si>
    <t>Toner Cyan HP Office Jet PRO 6230</t>
  </si>
  <si>
    <t>Toner Amarelo HP Office Jet PRO 6230</t>
  </si>
  <si>
    <t>ULSASI</t>
  </si>
  <si>
    <t>FITA CARBONO IMP ZEBRA GK420D 110MMX300M</t>
  </si>
  <si>
    <t>FITA CARBONO ZEBRA 55MMX74 METROS</t>
  </si>
  <si>
    <t>RECIPIENTE TONER RESID IMP LEXMARK CX431</t>
  </si>
  <si>
    <t>Rolo fita carbono (110mmx450m)</t>
  </si>
  <si>
    <t>TINTEIRO HP 2822E - 305 MULTICOLOR</t>
  </si>
  <si>
    <t>TINTEIRO HP 2822E - 305 PRETO</t>
  </si>
  <si>
    <t>TINTEIRO HP 302XL PRETO</t>
  </si>
  <si>
    <t>TINTEIRO HP 953 XL AZUL</t>
  </si>
  <si>
    <t>TINTEIRO HP 953XL Preto</t>
  </si>
  <si>
    <t>TINTEIRO HP AMARELO 953XL</t>
  </si>
  <si>
    <t>TINTEIRO HP MAGENTA 953XL</t>
  </si>
  <si>
    <t>TINTEIRO HP302XL CORES</t>
  </si>
  <si>
    <t>TONER 117A AMARELO</t>
  </si>
  <si>
    <t>TONER 117A CIANO</t>
  </si>
  <si>
    <t>TONER 117A MAGENTA</t>
  </si>
  <si>
    <t>TONER 117A PRETO</t>
  </si>
  <si>
    <t>TONER 203A CF 540A PRETO</t>
  </si>
  <si>
    <t>TONER 37X</t>
  </si>
  <si>
    <t>TONER 56F0UA0 LEXMARK MX521DE PRETO</t>
  </si>
  <si>
    <t>TONER 60FOXAO LEXMARK MX611DE PRETO</t>
  </si>
  <si>
    <t>TONER CANON LBP 162 DW 051</t>
  </si>
  <si>
    <t>TONER CE 505 A</t>
  </si>
  <si>
    <t>TONER COMPATIVEL HP PRO M255DW AMARELO</t>
  </si>
  <si>
    <t>TONER COMPATIVEL HP PRO M255DW AZUL</t>
  </si>
  <si>
    <t>TONER COMPATIVEL HP PRO M255DW MAGENTA</t>
  </si>
  <si>
    <t>TONER COMPATIVEL HP PRO M255DW PRETO</t>
  </si>
  <si>
    <t>TONER EPSON AL-M200/MX200 PRETO</t>
  </si>
  <si>
    <t>TONER HP 26A</t>
  </si>
  <si>
    <t>TONER HP 30A PRETO</t>
  </si>
  <si>
    <t>TONER HP 30X PRETO</t>
  </si>
  <si>
    <t>TONER HP 37A</t>
  </si>
  <si>
    <t>TONER HP 78A  HP1606DN</t>
  </si>
  <si>
    <t>TONER HP 83X</t>
  </si>
  <si>
    <t>TONER HP CE255X PRETO</t>
  </si>
  <si>
    <t>TONER HP CE285A/ 35A</t>
  </si>
  <si>
    <t>TONER HP LASERJET ALTA CAPACIDADE (59X)</t>
  </si>
  <si>
    <t>TONER HP LASERJET PRETO Q2612A</t>
  </si>
  <si>
    <t>TONER HP LASERJET PRETO Q2612X</t>
  </si>
  <si>
    <t>TONER HP PRETO Q5949A 49A</t>
  </si>
  <si>
    <t>TONER HP PRO MFP M127 - PRETO 83A</t>
  </si>
  <si>
    <t>TONER HP Q7553A</t>
  </si>
  <si>
    <t>TONER HP Q7553X</t>
  </si>
  <si>
    <t>TONER HPLASER PRO M251/M276-210XPRETO</t>
  </si>
  <si>
    <t>TONER HPLASER PRO M251/M276-211A CYAN</t>
  </si>
  <si>
    <t>TONER HPLASER PRO M251/M276-212A AMARELO</t>
  </si>
  <si>
    <t>TONER HPLASER PRO M251/M276-213A MAGENTA</t>
  </si>
  <si>
    <t>TONER IMP LEXMARK CX431 20N2XC0 (CYAN)</t>
  </si>
  <si>
    <t>TONER IMP LEXMARK CX431 20N2XK0 PRETO</t>
  </si>
  <si>
    <t>TONER IMP LEXMARK CX431 20N2XM0 (MAGENT)</t>
  </si>
  <si>
    <t>TONER IMP LEXMARK CX431 20N2XY0 (AMAREL)</t>
  </si>
  <si>
    <t>TONER LASER JET M209DW  W1350X</t>
  </si>
  <si>
    <t>TONER LEXMARK MS321DN PRETO 56F2H0E</t>
  </si>
  <si>
    <t>TONER LEXMARK MS410D PRETO 50F2H0E</t>
  </si>
  <si>
    <t>TONER LEXMARK MX310D 602H PRETO 60F2HOE</t>
  </si>
  <si>
    <t>TONER LEXMARK MX331 PRETO DN</t>
  </si>
  <si>
    <t>TONER TAMBOR HP 32A</t>
  </si>
  <si>
    <t>TONER TK1160 KYOCERA ECOSYS P2040DN PRET</t>
  </si>
  <si>
    <t>30 000 preto e 20 000 cores</t>
  </si>
  <si>
    <t>Lotes</t>
  </si>
  <si>
    <t>CIM 1594</t>
  </si>
  <si>
    <t>CIM 1595</t>
  </si>
  <si>
    <t>CIM 1596</t>
  </si>
  <si>
    <t>CIM 1597</t>
  </si>
  <si>
    <t>CIM 1598</t>
  </si>
  <si>
    <t>CIM 1599</t>
  </si>
  <si>
    <t>CIM 1600</t>
  </si>
  <si>
    <t>CIM 1601</t>
  </si>
  <si>
    <t>CIM 1602</t>
  </si>
  <si>
    <t>CIM 1603</t>
  </si>
  <si>
    <t>CIM 1604</t>
  </si>
  <si>
    <t>CIM 1605</t>
  </si>
  <si>
    <t>CIM 1606</t>
  </si>
  <si>
    <t>CIM 1607</t>
  </si>
  <si>
    <t>CIM 1608</t>
  </si>
  <si>
    <t>CIM 1609</t>
  </si>
  <si>
    <t>CIM 1610</t>
  </si>
  <si>
    <t>CIM 1611</t>
  </si>
  <si>
    <t>CIM 1612</t>
  </si>
  <si>
    <t>CIM 1613</t>
  </si>
  <si>
    <t>CIM 1614</t>
  </si>
  <si>
    <t>CIM 1615</t>
  </si>
  <si>
    <t>CIM 1616</t>
  </si>
  <si>
    <t>CIM 1617</t>
  </si>
  <si>
    <t>CIM 1618</t>
  </si>
  <si>
    <t>CIM 1619</t>
  </si>
  <si>
    <t>CIM 1620</t>
  </si>
  <si>
    <t>CIM 1621</t>
  </si>
  <si>
    <t>CIM 1622</t>
  </si>
  <si>
    <t>CIM 1623</t>
  </si>
  <si>
    <t>CIM 1624</t>
  </si>
  <si>
    <t>CIM 1625</t>
  </si>
  <si>
    <t>CIM 1626</t>
  </si>
  <si>
    <t>CIM 1627</t>
  </si>
  <si>
    <t>CIM 1628</t>
  </si>
  <si>
    <t>CIM 1629</t>
  </si>
  <si>
    <t>CIM 1630</t>
  </si>
  <si>
    <t>CIM 1631</t>
  </si>
  <si>
    <t>CIM 1632</t>
  </si>
  <si>
    <t>CIM 1633</t>
  </si>
  <si>
    <t>CIM 1634</t>
  </si>
  <si>
    <t>CIM 1635</t>
  </si>
  <si>
    <t>CIM 1636</t>
  </si>
  <si>
    <t>CIM 1637</t>
  </si>
  <si>
    <t>CIM 1638</t>
  </si>
  <si>
    <t>CIM 1639</t>
  </si>
  <si>
    <t>CIM 1640</t>
  </si>
  <si>
    <t>CIM 1641</t>
  </si>
  <si>
    <t>CIM 1642</t>
  </si>
  <si>
    <t>CIM 1643</t>
  </si>
  <si>
    <t>CIM 1644</t>
  </si>
  <si>
    <t>CIM 1645</t>
  </si>
  <si>
    <t>CIM 1646</t>
  </si>
  <si>
    <t>CIM 1647</t>
  </si>
  <si>
    <t>CIM 1648</t>
  </si>
  <si>
    <t>CIM 1649</t>
  </si>
  <si>
    <t>CIM 1650</t>
  </si>
  <si>
    <t>CIM 1651</t>
  </si>
  <si>
    <t>CIM 1652</t>
  </si>
  <si>
    <t>CIM 1653</t>
  </si>
  <si>
    <t>CIM 1654</t>
  </si>
  <si>
    <t>CIM 1655</t>
  </si>
  <si>
    <t>CIM 1656</t>
  </si>
  <si>
    <t>CIM 1657</t>
  </si>
  <si>
    <t>CIM 1658</t>
  </si>
  <si>
    <t>CIM 1659</t>
  </si>
  <si>
    <t>CIM 1660</t>
  </si>
  <si>
    <t>CIM 1661</t>
  </si>
  <si>
    <t>CIM 1662</t>
  </si>
  <si>
    <t>CIM 1663</t>
  </si>
  <si>
    <t>CIM 1664</t>
  </si>
  <si>
    <t>CIM 1665</t>
  </si>
  <si>
    <t>CIM 1670</t>
  </si>
  <si>
    <t>CIM 1671</t>
  </si>
  <si>
    <t>CIM 1672</t>
  </si>
  <si>
    <t>CIM 1673</t>
  </si>
  <si>
    <t>CIM 1674</t>
  </si>
  <si>
    <t>CIM 1675</t>
  </si>
  <si>
    <t>CIM 1676</t>
  </si>
  <si>
    <t>CIM 1677</t>
  </si>
  <si>
    <t>CIM 1678</t>
  </si>
  <si>
    <t>CIM 1679</t>
  </si>
  <si>
    <t>CIM 1680</t>
  </si>
  <si>
    <t>CIM 1681</t>
  </si>
  <si>
    <t>CIM 1682</t>
  </si>
  <si>
    <t>CIM 1683</t>
  </si>
  <si>
    <t>CIM 1684</t>
  </si>
  <si>
    <t>CIM 1685</t>
  </si>
  <si>
    <t>CIM 1686</t>
  </si>
  <si>
    <t>CIM 1687</t>
  </si>
  <si>
    <t>CIM 1688</t>
  </si>
  <si>
    <t>CIM 1689</t>
  </si>
  <si>
    <t>CIM 1690</t>
  </si>
  <si>
    <t>CIM 1691</t>
  </si>
  <si>
    <t>CIM 1692</t>
  </si>
  <si>
    <t>CIM 1693</t>
  </si>
  <si>
    <t>CIM 1694</t>
  </si>
  <si>
    <t>CIM 1695</t>
  </si>
  <si>
    <t>CIM 1696</t>
  </si>
  <si>
    <t>CIM 1697</t>
  </si>
  <si>
    <t>CIM 1698</t>
  </si>
  <si>
    <t>CIM 1699</t>
  </si>
  <si>
    <t>CIM 1700</t>
  </si>
  <si>
    <t>CIM 1701</t>
  </si>
  <si>
    <t>CIM 1702</t>
  </si>
  <si>
    <t>CIM 1703</t>
  </si>
  <si>
    <t>CIM 1704</t>
  </si>
  <si>
    <t>CIM 1705</t>
  </si>
  <si>
    <t>CIM 1706</t>
  </si>
  <si>
    <t>CIM 1707</t>
  </si>
  <si>
    <t>CIM 1708</t>
  </si>
  <si>
    <t>CIM 1709</t>
  </si>
  <si>
    <t>CIM 1710</t>
  </si>
  <si>
    <t>CIM 1711</t>
  </si>
  <si>
    <t>CIM 1712</t>
  </si>
  <si>
    <t>CIM 1713</t>
  </si>
  <si>
    <t>CIM 1714</t>
  </si>
  <si>
    <t>CIM 1715</t>
  </si>
  <si>
    <t>CIM 1716</t>
  </si>
  <si>
    <t>CIM 1717</t>
  </si>
  <si>
    <t>CIM 1718</t>
  </si>
  <si>
    <t>CIM 1719</t>
  </si>
  <si>
    <t>CIM 1720</t>
  </si>
  <si>
    <t>CIM 1721</t>
  </si>
  <si>
    <t>CIM 1722</t>
  </si>
  <si>
    <t>CIM 1723</t>
  </si>
  <si>
    <t>CIM 1724</t>
  </si>
  <si>
    <t>CIM 1725</t>
  </si>
  <si>
    <t>CIM 1726</t>
  </si>
  <si>
    <t>CIM 1727</t>
  </si>
  <si>
    <t>CIM 1728</t>
  </si>
  <si>
    <t>CIM 1729</t>
  </si>
  <si>
    <t>CIM 1730</t>
  </si>
  <si>
    <t>CIM 1731</t>
  </si>
  <si>
    <t>CIM 1732</t>
  </si>
  <si>
    <t>CIM 1733</t>
  </si>
  <si>
    <t>CIM 1734</t>
  </si>
  <si>
    <t>CIM 1735</t>
  </si>
  <si>
    <t>CIM 1736</t>
  </si>
  <si>
    <t>CIM 1737</t>
  </si>
  <si>
    <t>CIM 1738</t>
  </si>
  <si>
    <t>CIM 1739</t>
  </si>
  <si>
    <t>CIM 1740</t>
  </si>
  <si>
    <t>CIM 1741</t>
  </si>
  <si>
    <t>CIM 1742</t>
  </si>
  <si>
    <t>CIM 1743</t>
  </si>
  <si>
    <t>CIM 1744</t>
  </si>
  <si>
    <t>CIM 1745</t>
  </si>
  <si>
    <t>CIM 1746</t>
  </si>
  <si>
    <t>CIM 1747</t>
  </si>
  <si>
    <t>CIM 1748</t>
  </si>
  <si>
    <t>CIM 1749</t>
  </si>
  <si>
    <t>CIM 1750</t>
  </si>
  <si>
    <t>CIM 1751</t>
  </si>
  <si>
    <t>CIM 1752</t>
  </si>
  <si>
    <t>CIM 1753</t>
  </si>
  <si>
    <t>CIM 1754</t>
  </si>
  <si>
    <t>CIM 1755</t>
  </si>
  <si>
    <t>CIM 1756</t>
  </si>
  <si>
    <t>CIM 1757</t>
  </si>
  <si>
    <t>CIM 1758</t>
  </si>
  <si>
    <t>CIM 1759</t>
  </si>
  <si>
    <t>CIM 1760</t>
  </si>
  <si>
    <t>CIM 1761</t>
  </si>
  <si>
    <t>CIM 1762</t>
  </si>
  <si>
    <t>CIM 1763</t>
  </si>
  <si>
    <t>CIM 1764</t>
  </si>
  <si>
    <t>CIM 1765</t>
  </si>
  <si>
    <t>CIM 1766</t>
  </si>
  <si>
    <t>CIM 1767</t>
  </si>
  <si>
    <t>CIM 1768</t>
  </si>
  <si>
    <t>CIM 1769</t>
  </si>
  <si>
    <t>CIM 1770</t>
  </si>
  <si>
    <t>CIM 1771</t>
  </si>
  <si>
    <t>CIM 1772</t>
  </si>
  <si>
    <t>CIM 1773</t>
  </si>
  <si>
    <t>CIM 1774</t>
  </si>
  <si>
    <t>CIM 1775</t>
  </si>
  <si>
    <t>CIM 1776</t>
  </si>
  <si>
    <t>CIM 1777</t>
  </si>
  <si>
    <t>CIM 1778</t>
  </si>
  <si>
    <t>CIM 1779</t>
  </si>
  <si>
    <t>CIM 1780</t>
  </si>
  <si>
    <t>CIM 1781</t>
  </si>
  <si>
    <t>CIM 1782</t>
  </si>
  <si>
    <t>CIM 1783</t>
  </si>
  <si>
    <t>CIM 1784</t>
  </si>
  <si>
    <t>CIM 1785</t>
  </si>
  <si>
    <t>CIM 1786</t>
  </si>
  <si>
    <t>CIM 1787</t>
  </si>
  <si>
    <t>CIM 1788</t>
  </si>
  <si>
    <t>CIM 1789</t>
  </si>
  <si>
    <t>CIM 1790</t>
  </si>
  <si>
    <t>CIM 1791</t>
  </si>
  <si>
    <t>CIM 1792</t>
  </si>
  <si>
    <t>CIM 1793</t>
  </si>
  <si>
    <t>CIM 1794</t>
  </si>
  <si>
    <t>CIM 1795</t>
  </si>
  <si>
    <t>CIM 1796</t>
  </si>
  <si>
    <t>CIM 1797</t>
  </si>
  <si>
    <t>CIM 1798</t>
  </si>
  <si>
    <t>CIM 1799</t>
  </si>
  <si>
    <t>CIM 1800</t>
  </si>
  <si>
    <t>CIM 1801</t>
  </si>
  <si>
    <t>CIM 1802</t>
  </si>
  <si>
    <t>CIM 1803</t>
  </si>
  <si>
    <t>CIM 1804</t>
  </si>
  <si>
    <t>CIM 1805</t>
  </si>
  <si>
    <t>CIM 1806</t>
  </si>
  <si>
    <t>CIM 1807</t>
  </si>
  <si>
    <t>CIM 1808</t>
  </si>
  <si>
    <t>CIM 1809</t>
  </si>
  <si>
    <t>CIM 1810</t>
  </si>
  <si>
    <t>CIM 1811</t>
  </si>
  <si>
    <t>CIM 1812</t>
  </si>
  <si>
    <t>CIM 1813</t>
  </si>
  <si>
    <t>CIM 1814</t>
  </si>
  <si>
    <t>CIM 1815</t>
  </si>
  <si>
    <t>CIM 1816</t>
  </si>
  <si>
    <t>CIM 1817</t>
  </si>
  <si>
    <t>CIM 1818</t>
  </si>
  <si>
    <t>CIM 1819</t>
  </si>
  <si>
    <t>CIM 1820</t>
  </si>
  <si>
    <t>CIM 1821</t>
  </si>
  <si>
    <t>CIM 1822</t>
  </si>
  <si>
    <t>CIM 1823</t>
  </si>
  <si>
    <t>CIM 1824</t>
  </si>
  <si>
    <t>CIM 1825</t>
  </si>
  <si>
    <t>CIM 1826</t>
  </si>
  <si>
    <t>CIM 1827</t>
  </si>
  <si>
    <t>CIM 1828</t>
  </si>
  <si>
    <t>CIM 1829</t>
  </si>
  <si>
    <t>CIM 1830</t>
  </si>
  <si>
    <t>CIM 1831</t>
  </si>
  <si>
    <t>CIM 1832</t>
  </si>
  <si>
    <t>CIM 1833</t>
  </si>
  <si>
    <t>CIM 1834</t>
  </si>
  <si>
    <t>CIM 1835</t>
  </si>
  <si>
    <t>CIM 1836</t>
  </si>
  <si>
    <t>CIM 1837</t>
  </si>
  <si>
    <t>CIM 1838</t>
  </si>
  <si>
    <t>CIM 1839</t>
  </si>
  <si>
    <t>CIM 1840</t>
  </si>
  <si>
    <t>CIM 1841</t>
  </si>
  <si>
    <t>CIM 1842</t>
  </si>
  <si>
    <t>CIM 1843</t>
  </si>
  <si>
    <t>CIM 1844</t>
  </si>
  <si>
    <t>CIM 1845</t>
  </si>
  <si>
    <t>CIM 1846</t>
  </si>
  <si>
    <t>CIM 1847</t>
  </si>
  <si>
    <t>CIM 1848</t>
  </si>
  <si>
    <t>CIM 1849</t>
  </si>
  <si>
    <t>CIM 1850</t>
  </si>
  <si>
    <t>CIM 1851</t>
  </si>
  <si>
    <t>CIM 1852</t>
  </si>
  <si>
    <t>CIM 1853</t>
  </si>
  <si>
    <t>CIM 1854</t>
  </si>
  <si>
    <t>CIM 1855</t>
  </si>
  <si>
    <t>CIM 1856</t>
  </si>
  <si>
    <t>CIM 1857</t>
  </si>
  <si>
    <t>CIM 1858</t>
  </si>
  <si>
    <t>CIM 1859</t>
  </si>
  <si>
    <t>CIM 1860</t>
  </si>
  <si>
    <t>CIM 1861</t>
  </si>
  <si>
    <t>CIM 1862</t>
  </si>
  <si>
    <t>CIM 1863</t>
  </si>
  <si>
    <t>CIM 1864</t>
  </si>
  <si>
    <t>CIM 1865</t>
  </si>
  <si>
    <t>CIM 1866</t>
  </si>
  <si>
    <t>CIM 1867</t>
  </si>
  <si>
    <t>CIM 1868</t>
  </si>
  <si>
    <t>CIM 1869</t>
  </si>
  <si>
    <t>CIM 1870</t>
  </si>
  <si>
    <t>CIM 1871</t>
  </si>
  <si>
    <t>CIM 1872</t>
  </si>
  <si>
    <t>CIM 1873</t>
  </si>
  <si>
    <t>CIM 1874</t>
  </si>
  <si>
    <t>CIM 1875</t>
  </si>
  <si>
    <t>CIM 1876</t>
  </si>
  <si>
    <t>CIM 1877</t>
  </si>
  <si>
    <t>CIM 1878</t>
  </si>
  <si>
    <t>CIM 1879</t>
  </si>
  <si>
    <t>CIM 1880</t>
  </si>
  <si>
    <t>CIM 1881</t>
  </si>
  <si>
    <t>CIM 1882</t>
  </si>
  <si>
    <t>CIM 1883</t>
  </si>
  <si>
    <t>CIM 1884</t>
  </si>
  <si>
    <t>CIM 1885</t>
  </si>
  <si>
    <t>CIM 1886</t>
  </si>
  <si>
    <t>CIM 1887</t>
  </si>
  <si>
    <t>CIM 1888</t>
  </si>
  <si>
    <t>CIM 1889</t>
  </si>
  <si>
    <t>CIM 1890</t>
  </si>
  <si>
    <t>CIM 1891</t>
  </si>
  <si>
    <t>CIM 1892</t>
  </si>
  <si>
    <t>CIM 1893</t>
  </si>
  <si>
    <t>CIM 1894</t>
  </si>
  <si>
    <t>CIM 1895</t>
  </si>
  <si>
    <t>CIM 1896</t>
  </si>
  <si>
    <t>CIM 1897</t>
  </si>
  <si>
    <t>CIM 1898</t>
  </si>
  <si>
    <t>CIM 1899</t>
  </si>
  <si>
    <t>CIM 1900</t>
  </si>
  <si>
    <t>CIM 1901</t>
  </si>
  <si>
    <t>CIM 1902</t>
  </si>
  <si>
    <t>CIM 1903</t>
  </si>
  <si>
    <t>CIM 1904</t>
  </si>
  <si>
    <t>CIM 1905</t>
  </si>
  <si>
    <t>CIM 1906</t>
  </si>
  <si>
    <t>CIM 1907</t>
  </si>
  <si>
    <t>CIM 1908</t>
  </si>
  <si>
    <t>CIM 1909</t>
  </si>
  <si>
    <t>CIM 1910</t>
  </si>
  <si>
    <t>CIM 1911</t>
  </si>
  <si>
    <t>CIM 1912</t>
  </si>
  <si>
    <t>CIM 1913</t>
  </si>
  <si>
    <t>CIM 1914</t>
  </si>
  <si>
    <t>CIM 1915</t>
  </si>
  <si>
    <t>CIM 1916</t>
  </si>
  <si>
    <t>CIM 1917</t>
  </si>
  <si>
    <t>CIM 1918</t>
  </si>
  <si>
    <t>CIM 1957</t>
  </si>
  <si>
    <t>CIM 1958</t>
  </si>
  <si>
    <t>CIM 1959</t>
  </si>
  <si>
    <t>CIM 1960</t>
  </si>
  <si>
    <r>
      <rPr>
        <b/>
        <u/>
        <sz val="11"/>
        <color theme="1"/>
        <rFont val="Calibri"/>
        <family val="2"/>
        <scheme val="minor"/>
      </rPr>
      <t>Não é</t>
    </r>
    <r>
      <rPr>
        <b/>
        <sz val="11"/>
        <color theme="1"/>
        <rFont val="Calibri"/>
        <family val="2"/>
        <scheme val="minor"/>
      </rPr>
      <t xml:space="preserve"> necessário preencher este mapa, ele é </t>
    </r>
    <r>
      <rPr>
        <b/>
        <u/>
        <sz val="11"/>
        <color theme="1"/>
        <rFont val="Calibri"/>
        <family val="2"/>
        <scheme val="minor"/>
      </rPr>
      <t>preenchido Automáticamente</t>
    </r>
  </si>
  <si>
    <t>Preço Proposto Total p/Lote</t>
  </si>
  <si>
    <r>
      <t xml:space="preserve">No entanto, </t>
    </r>
    <r>
      <rPr>
        <b/>
        <u/>
        <sz val="11"/>
        <color theme="1"/>
        <rFont val="Calibri"/>
        <family val="2"/>
        <scheme val="minor"/>
      </rPr>
      <t>caso seja útil</t>
    </r>
    <r>
      <rPr>
        <b/>
        <sz val="11"/>
        <color theme="1"/>
        <rFont val="Calibri"/>
        <family val="2"/>
        <scheme val="minor"/>
      </rPr>
      <t xml:space="preserve"> fazer uso do mesmo e </t>
    </r>
    <r>
      <rPr>
        <b/>
        <u/>
        <sz val="11"/>
        <color theme="1"/>
        <rFont val="Calibri"/>
        <family val="2"/>
        <scheme val="minor"/>
      </rPr>
      <t>para ativar automáticamente os valores por Lote</t>
    </r>
    <r>
      <rPr>
        <b/>
        <sz val="11"/>
        <color theme="1"/>
        <rFont val="Calibri"/>
        <family val="2"/>
        <scheme val="minor"/>
      </rPr>
      <t xml:space="preserve"> há que </t>
    </r>
    <r>
      <rPr>
        <b/>
        <u/>
        <sz val="11"/>
        <color theme="1"/>
        <rFont val="Calibri"/>
        <family val="2"/>
        <scheme val="minor"/>
      </rPr>
      <t>clikar em cima da tabela</t>
    </r>
    <r>
      <rPr>
        <b/>
        <sz val="11"/>
        <color theme="1"/>
        <rFont val="Calibri"/>
        <family val="2"/>
        <scheme val="minor"/>
      </rPr>
      <t xml:space="preserve"> e depois </t>
    </r>
    <r>
      <rPr>
        <b/>
        <u/>
        <sz val="11"/>
        <color theme="1"/>
        <rFont val="Calibri"/>
        <family val="2"/>
        <scheme val="minor"/>
      </rPr>
      <t>clikar em Atualizar na zona Analisar Tabela Dinâmica</t>
    </r>
    <r>
      <rPr>
        <b/>
        <sz val="11"/>
        <color theme="1"/>
        <rFont val="Calibri"/>
        <family val="2"/>
        <scheme val="minor"/>
      </rPr>
      <t xml:space="preserve"> conforme imagem infra.</t>
    </r>
  </si>
  <si>
    <t>Total Proposto S/IVA</t>
  </si>
  <si>
    <t>Preencher apenas espaços com a cor verde claro.</t>
  </si>
  <si>
    <r>
      <t xml:space="preserve">Para mais fácil preenchimento, usar o filtro na coluna Lotes, selecionando o Lote respetivo, de forma a colocar o valor na coluna do preço unitário </t>
    </r>
    <r>
      <rPr>
        <b/>
        <u/>
        <sz val="11"/>
        <color theme="1"/>
        <rFont val="Calibri"/>
        <family val="2"/>
        <scheme val="minor"/>
      </rPr>
      <t>para todos os consumiveis inerentes a esse Lote</t>
    </r>
    <r>
      <rPr>
        <b/>
        <sz val="11"/>
        <color theme="1"/>
        <rFont val="Calibri"/>
        <family val="2"/>
        <scheme val="minor"/>
      </rPr>
      <t>.</t>
    </r>
  </si>
  <si>
    <t>Designação do concorrente:</t>
  </si>
  <si>
    <t>NIF do Concorrente</t>
  </si>
  <si>
    <t>Valor Total da Proposta S/IVA</t>
  </si>
  <si>
    <t>2026/0206- Modelo de Resposta - Anexo I de Programa de Concurso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</si>
</sst>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_€_-;\-* #,##0.00\ _€_-;_-* &quot;-&quot;??\ _€_-;_-@_-"/>
    <numFmt numFmtId="166" formatCode="0.000"/>
    <numFmt numFmtId="167" formatCode="#,##0.000000\ &quot;€&quot;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10"/>
      <color rgb="FF000000"/>
      <name val="Segoe UI Historic"/>
      <family val="2"/>
    </font>
    <font>
      <b/>
      <u/>
      <sz val="11"/>
      <color theme="1"/>
      <name val="Calibri"/>
      <family val="2"/>
      <scheme val="minor"/>
    </font>
    <font>
      <b/>
      <sz val="10"/>
      <color rgb="FF000000"/>
      <name val="Segoe UI Historic"/>
      <family val="2"/>
    </font>
    <font>
      <b/>
      <sz val="11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3" borderId="4" applyNumberFormat="0" applyAlignment="0" applyProtection="0"/>
    <xf numFmtId="0" fontId="6" fillId="4" borderId="5" applyNumberFormat="0" applyAlignment="0" applyProtection="0"/>
    <xf numFmtId="0" fontId="7" fillId="4" borderId="4" applyNumberFormat="0" applyAlignment="0" applyProtection="0"/>
    <xf numFmtId="0" fontId="8" fillId="0" borderId="6" applyNumberFormat="0" applyFill="0" applyAlignment="0" applyProtection="0"/>
    <xf numFmtId="0" fontId="9" fillId="5" borderId="7" applyNumberFormat="0" applyAlignment="0" applyProtection="0"/>
    <xf numFmtId="0" fontId="10" fillId="0" borderId="0" applyNumberFormat="0" applyFill="0" applyBorder="0" applyAlignment="0" applyProtection="0"/>
    <xf numFmtId="0" fontId="1" fillId="6" borderId="8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3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44" fontId="1" fillId="0" borderId="0" applyFont="0" applyFill="0" applyBorder="0" applyAlignment="0" applyProtection="0"/>
    <xf numFmtId="0" fontId="14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6" fillId="0" borderId="0"/>
    <xf numFmtId="0" fontId="17" fillId="0" borderId="0" applyFill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Border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0" fillId="31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2" borderId="10" xfId="0" applyFill="1" applyBorder="1" applyAlignment="1">
      <alignment horizontal="center"/>
    </xf>
    <xf numFmtId="0" fontId="0" fillId="32" borderId="10" xfId="0" applyFill="1" applyBorder="1"/>
    <xf numFmtId="164" fontId="0" fillId="32" borderId="10" xfId="0" applyNumberFormat="1" applyFill="1" applyBorder="1" applyAlignment="1">
      <alignment horizontal="center" vertical="center"/>
    </xf>
    <xf numFmtId="0" fontId="0" fillId="32" borderId="10" xfId="0" applyFill="1" applyBorder="1" applyAlignment="1">
      <alignment horizontal="center" vertical="center"/>
    </xf>
    <xf numFmtId="0" fontId="0" fillId="32" borderId="10" xfId="0" applyFill="1" applyBorder="1" applyAlignment="1">
      <alignment vertical="center"/>
    </xf>
    <xf numFmtId="0" fontId="9" fillId="33" borderId="11" xfId="0" applyFont="1" applyFill="1" applyBorder="1" applyAlignment="1">
      <alignment horizontal="center"/>
    </xf>
    <xf numFmtId="0" fontId="9" fillId="33" borderId="10" xfId="0" applyFont="1" applyFill="1" applyBorder="1" applyAlignment="1">
      <alignment horizontal="center" vertical="center"/>
    </xf>
    <xf numFmtId="164" fontId="9" fillId="33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0" fillId="34" borderId="10" xfId="0" applyFill="1" applyBorder="1" applyAlignment="1">
      <alignment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10" xfId="0" applyFill="1" applyBorder="1" applyAlignment="1">
      <alignment vertical="center"/>
    </xf>
    <xf numFmtId="0" fontId="0" fillId="36" borderId="10" xfId="0" applyFill="1" applyBorder="1" applyAlignment="1">
      <alignment vertical="center"/>
    </xf>
    <xf numFmtId="0" fontId="0" fillId="36" borderId="10" xfId="0" applyFill="1" applyBorder="1" applyAlignment="1">
      <alignment horizontal="center" vertical="center"/>
    </xf>
    <xf numFmtId="0" fontId="0" fillId="31" borderId="10" xfId="0" applyFill="1" applyBorder="1" applyAlignment="1">
      <alignment horizontal="center" vertical="center"/>
    </xf>
    <xf numFmtId="164" fontId="0" fillId="31" borderId="10" xfId="0" applyNumberFormat="1" applyFill="1" applyBorder="1" applyAlignment="1">
      <alignment horizontal="center" vertical="center"/>
    </xf>
    <xf numFmtId="0" fontId="0" fillId="31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9" fillId="39" borderId="10" xfId="0" applyFont="1" applyFill="1" applyBorder="1" applyAlignment="1">
      <alignment horizontal="center" vertical="center" wrapText="1"/>
    </xf>
    <xf numFmtId="0" fontId="9" fillId="39" borderId="10" xfId="0" applyFont="1" applyFill="1" applyBorder="1" applyAlignment="1">
      <alignment horizontal="center" vertical="center"/>
    </xf>
    <xf numFmtId="0" fontId="9" fillId="39" borderId="11" xfId="0" applyFont="1" applyFill="1" applyBorder="1" applyAlignment="1">
      <alignment horizontal="center" vertical="center"/>
    </xf>
    <xf numFmtId="164" fontId="9" fillId="39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32" borderId="0" xfId="0" applyFill="1"/>
    <xf numFmtId="3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2" borderId="0" xfId="0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32" borderId="10" xfId="0" applyFont="1" applyFill="1" applyBorder="1" applyAlignment="1">
      <alignment horizontal="center" vertical="center"/>
    </xf>
    <xf numFmtId="0" fontId="19" fillId="32" borderId="10" xfId="0" applyFont="1" applyFill="1" applyBorder="1" applyAlignment="1">
      <alignment horizontal="center"/>
    </xf>
    <xf numFmtId="0" fontId="0" fillId="0" borderId="10" xfId="0" applyBorder="1" applyAlignment="1">
      <alignment horizontal="right" vertical="center"/>
    </xf>
    <xf numFmtId="3" fontId="0" fillId="32" borderId="10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right" vertical="center"/>
    </xf>
    <xf numFmtId="0" fontId="19" fillId="32" borderId="10" xfId="0" applyFont="1" applyFill="1" applyBorder="1" applyAlignment="1">
      <alignment vertical="center"/>
    </xf>
    <xf numFmtId="0" fontId="21" fillId="0" borderId="10" xfId="0" applyFont="1" applyBorder="1"/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/>
    </xf>
    <xf numFmtId="0" fontId="19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19" fillId="40" borderId="10" xfId="0" applyFont="1" applyFill="1" applyBorder="1" applyAlignment="1">
      <alignment vertical="center"/>
    </xf>
    <xf numFmtId="0" fontId="0" fillId="32" borderId="10" xfId="0" applyFill="1" applyBorder="1" applyAlignment="1">
      <alignment horizontal="right" vertical="center"/>
    </xf>
    <xf numFmtId="1" fontId="20" fillId="0" borderId="10" xfId="54" applyNumberFormat="1" applyFont="1" applyBorder="1" applyAlignment="1">
      <alignment horizontal="right" vertical="center"/>
    </xf>
    <xf numFmtId="1" fontId="20" fillId="32" borderId="10" xfId="0" applyNumberFormat="1" applyFont="1" applyFill="1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 wrapText="1"/>
    </xf>
    <xf numFmtId="3" fontId="20" fillId="32" borderId="10" xfId="0" applyNumberFormat="1" applyFont="1" applyFill="1" applyBorder="1" applyAlignment="1">
      <alignment horizontal="center" vertical="center"/>
    </xf>
    <xf numFmtId="164" fontId="0" fillId="38" borderId="10" xfId="0" applyNumberFormat="1" applyFill="1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164" fontId="24" fillId="38" borderId="10" xfId="58" applyNumberFormat="1" applyFont="1" applyFill="1" applyBorder="1" applyAlignment="1">
      <alignment horizontal="right" vertical="center" wrapText="1"/>
    </xf>
    <xf numFmtId="164" fontId="0" fillId="38" borderId="10" xfId="0" applyNumberFormat="1" applyFill="1" applyBorder="1" applyAlignment="1">
      <alignment horizontal="right" vertical="center" wrapText="1"/>
    </xf>
    <xf numFmtId="0" fontId="0" fillId="32" borderId="13" xfId="0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0" fillId="39" borderId="17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 wrapText="1"/>
    </xf>
    <xf numFmtId="164" fontId="0" fillId="0" borderId="17" xfId="0" applyNumberFormat="1" applyBorder="1"/>
    <xf numFmtId="0" fontId="26" fillId="0" borderId="10" xfId="58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 wrapText="1"/>
    </xf>
    <xf numFmtId="0" fontId="27" fillId="0" borderId="10" xfId="58" applyFont="1" applyBorder="1" applyAlignment="1">
      <alignment horizontal="center"/>
    </xf>
    <xf numFmtId="0" fontId="0" fillId="38" borderId="10" xfId="0" applyFill="1" applyBorder="1" applyAlignment="1">
      <alignment vertical="center"/>
    </xf>
    <xf numFmtId="164" fontId="12" fillId="0" borderId="10" xfId="0" applyNumberFormat="1" applyFon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0" fillId="0" borderId="17" xfId="0" applyFont="1" applyBorder="1" applyAlignment="1">
      <alignment horizontal="left"/>
    </xf>
    <xf numFmtId="164" fontId="20" fillId="0" borderId="17" xfId="0" applyNumberFormat="1" applyFont="1" applyBorder="1"/>
    <xf numFmtId="0" fontId="9" fillId="39" borderId="12" xfId="0" applyFont="1" applyFill="1" applyBorder="1" applyAlignment="1">
      <alignment horizontal="center" vertical="center"/>
    </xf>
    <xf numFmtId="0" fontId="9" fillId="39" borderId="22" xfId="0" applyFont="1" applyFill="1" applyBorder="1" applyAlignment="1">
      <alignment horizontal="center" vertical="center"/>
    </xf>
    <xf numFmtId="0" fontId="12" fillId="38" borderId="21" xfId="0" applyFont="1" applyFill="1" applyBorder="1" applyAlignment="1">
      <alignment horizontal="center" vertical="center"/>
    </xf>
    <xf numFmtId="0" fontId="12" fillId="38" borderId="0" xfId="0" applyFont="1" applyFill="1" applyAlignment="1">
      <alignment horizontal="center" vertical="center"/>
    </xf>
    <xf numFmtId="0" fontId="0" fillId="38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9" fillId="39" borderId="21" xfId="0" applyFont="1" applyFill="1" applyBorder="1" applyAlignment="1">
      <alignment horizontal="center" vertical="center"/>
    </xf>
    <xf numFmtId="0" fontId="9" fillId="39" borderId="0" xfId="0" applyFont="1" applyFill="1" applyAlignment="1">
      <alignment horizontal="center" vertical="center"/>
    </xf>
    <xf numFmtId="0" fontId="12" fillId="38" borderId="14" xfId="0" applyFont="1" applyFill="1" applyBorder="1" applyAlignment="1">
      <alignment horizontal="center" vertical="center"/>
    </xf>
    <xf numFmtId="0" fontId="12" fillId="38" borderId="15" xfId="0" applyFont="1" applyFill="1" applyBorder="1" applyAlignment="1">
      <alignment horizontal="center" vertical="center"/>
    </xf>
    <xf numFmtId="0" fontId="12" fillId="38" borderId="16" xfId="0" applyFont="1" applyFill="1" applyBorder="1" applyAlignment="1">
      <alignment horizontal="center" vertical="center"/>
    </xf>
    <xf numFmtId="0" fontId="12" fillId="38" borderId="18" xfId="0" applyFont="1" applyFill="1" applyBorder="1" applyAlignment="1">
      <alignment horizontal="left" vertical="center"/>
    </xf>
    <xf numFmtId="0" fontId="12" fillId="38" borderId="19" xfId="0" applyFont="1" applyFill="1" applyBorder="1" applyAlignment="1">
      <alignment horizontal="left" vertical="center"/>
    </xf>
    <xf numFmtId="0" fontId="12" fillId="38" borderId="20" xfId="0" applyFont="1" applyFill="1" applyBorder="1" applyAlignment="1">
      <alignment horizontal="left" vertical="center"/>
    </xf>
  </cellXfs>
  <cellStyles count="65">
    <cellStyle name="20% - Cor1" xfId="15" builtinId="30" customBuiltin="1"/>
    <cellStyle name="20% - Cor2" xfId="18" builtinId="34" customBuiltin="1"/>
    <cellStyle name="20% - Cor3" xfId="21" builtinId="38" customBuiltin="1"/>
    <cellStyle name="20% - Cor4" xfId="24" builtinId="42" customBuiltin="1"/>
    <cellStyle name="20% - Cor5" xfId="27" builtinId="46" customBuiltin="1"/>
    <cellStyle name="20% - Cor6" xfId="30" builtinId="50" customBuiltin="1"/>
    <cellStyle name="40% - Cor1" xfId="16" builtinId="31" customBuiltin="1"/>
    <cellStyle name="40% - Cor2" xfId="19" builtinId="35" customBuiltin="1"/>
    <cellStyle name="40% - Cor3" xfId="22" builtinId="39" customBuiltin="1"/>
    <cellStyle name="40% - Cor4" xfId="25" builtinId="43" customBuiltin="1"/>
    <cellStyle name="40% - Cor5" xfId="28" builtinId="47" customBuiltin="1"/>
    <cellStyle name="40% - Cor6" xfId="31" builtinId="51" customBuiltin="1"/>
    <cellStyle name="60% - Cor1 2" xfId="32" xr:uid="{259E2F83-A7D1-4186-964E-BBF66CDDED53}"/>
    <cellStyle name="60% - Cor2 2" xfId="33" xr:uid="{8FB3848F-F905-4C20-AF96-F6CAEDEE1D58}"/>
    <cellStyle name="60% - Cor3 2" xfId="34" xr:uid="{5A137B3A-807E-41CA-A8BD-59095A979F01}"/>
    <cellStyle name="60% - Cor4 2" xfId="35" xr:uid="{AE2BC5CE-6509-47C6-986B-2F9F1A798D03}"/>
    <cellStyle name="60% - Cor5 2" xfId="36" xr:uid="{B4F4117E-2BF4-4444-9E56-589E65C5DC5E}"/>
    <cellStyle name="60% - Cor6 2" xfId="37" xr:uid="{8A407D23-FB62-4D46-9377-6006E821B1C4}"/>
    <cellStyle name="Cabeçalho 1" xfId="1" builtinId="16" customBuiltin="1"/>
    <cellStyle name="Cabeçalho 2" xfId="2" builtinId="17" customBuiltin="1"/>
    <cellStyle name="Cabeçalho 3" xfId="3" builtinId="18" customBuiltin="1"/>
    <cellStyle name="Cabeçalho 4" xfId="4" builtinId="19" customBuiltin="1"/>
    <cellStyle name="Cálculo" xfId="7" builtinId="22" customBuiltin="1"/>
    <cellStyle name="Célula Ligada" xfId="8" builtinId="24" customBuiltin="1"/>
    <cellStyle name="Cor1" xfId="14" builtinId="29" customBuiltin="1"/>
    <cellStyle name="Cor2" xfId="17" builtinId="33" customBuiltin="1"/>
    <cellStyle name="Cor3" xfId="20" builtinId="37" customBuiltin="1"/>
    <cellStyle name="Cor4" xfId="23" builtinId="41" customBuiltin="1"/>
    <cellStyle name="Cor5" xfId="26" builtinId="45" customBuiltin="1"/>
    <cellStyle name="Cor6" xfId="29" builtinId="49" customBuiltin="1"/>
    <cellStyle name="Entrada" xfId="5" builtinId="20" customBuiltin="1"/>
    <cellStyle name="Moeda 2" xfId="38" xr:uid="{582D3BD2-7B97-441A-8804-697A549AFC33}"/>
    <cellStyle name="Moeda 2 2" xfId="46" xr:uid="{8F0F7B90-2838-4B10-BBF7-4667343F4786}"/>
    <cellStyle name="Moeda 2 2 2" xfId="53" xr:uid="{82B7C2EC-E46A-4693-AF3D-53CA80D93C09}"/>
    <cellStyle name="Moeda 2 2 3" xfId="61" xr:uid="{C234EDF6-6403-44C3-9D84-394B340AC4F9}"/>
    <cellStyle name="Moeda 2 3" xfId="48" xr:uid="{F5E1F06D-9D22-4298-AFA0-68FCF055DBDB}"/>
    <cellStyle name="Moeda 2 3 2" xfId="55" xr:uid="{E4876523-135C-4C78-9489-634B1FA1ECCF}"/>
    <cellStyle name="Moeda 2 3 3" xfId="62" xr:uid="{DA6EF4F7-D9C9-4C6C-B424-884452D5EE52}"/>
    <cellStyle name="Moeda 2 4" xfId="50" xr:uid="{2DBEA600-8201-4B8B-AFD6-D71024F97A91}"/>
    <cellStyle name="Moeda 2 4 2" xfId="57" xr:uid="{69E0CDA9-14E1-4220-9503-4095C33A08D8}"/>
    <cellStyle name="Moeda 2 4 3" xfId="64" xr:uid="{4A606FA2-F38B-4A57-8375-7FCF46D0D3B2}"/>
    <cellStyle name="Moeda 2 5" xfId="45" xr:uid="{D2B8C94F-BF9D-48FA-9CE9-4365CE9EC97D}"/>
    <cellStyle name="Moeda 2 5 2" xfId="52" xr:uid="{E8D366B6-D26C-4D46-A35C-368686939DD7}"/>
    <cellStyle name="Moeda 2 5 3" xfId="60" xr:uid="{C4F45175-E775-4432-9495-460D8341CA98}"/>
    <cellStyle name="Moeda 2 6" xfId="51" xr:uid="{D1CD2B83-8611-4EA3-A1E6-B5019A807F98}"/>
    <cellStyle name="Moeda 2 7" xfId="59" xr:uid="{BBF347AE-1C7C-4B43-B926-6C18BB89EC2A}"/>
    <cellStyle name="Neutro 2" xfId="39" xr:uid="{EE14ADB8-EE08-4BF5-A76B-0D1AA6C49127}"/>
    <cellStyle name="Normal" xfId="0" builtinId="0"/>
    <cellStyle name="Normal 2" xfId="43" xr:uid="{96050C5D-0D0C-4899-8656-F8879A9B3EBC}"/>
    <cellStyle name="Normal 2 2 2 2" xfId="47" xr:uid="{C53FE85E-FE6D-4D68-9A9A-46707E38E3C9}"/>
    <cellStyle name="Normal 3" xfId="58" xr:uid="{3E17B0FA-0ECD-44A3-937F-E56E9EA87D8D}"/>
    <cellStyle name="Normal 4" xfId="41" xr:uid="{6A88C606-C3AF-45D4-9B33-3588673D480B}"/>
    <cellStyle name="Normal 4 2" xfId="44" xr:uid="{AA896D47-B181-4157-8948-D238CBA6D928}"/>
    <cellStyle name="Normal 7 2" xfId="54" xr:uid="{273F05B5-C0B9-44BE-B601-20C0B0F370DF}"/>
    <cellStyle name="Nota" xfId="11" builtinId="10" customBuiltin="1"/>
    <cellStyle name="Saída" xfId="6" builtinId="21" customBuiltin="1"/>
    <cellStyle name="Texto de Aviso" xfId="10" builtinId="11" customBuiltin="1"/>
    <cellStyle name="Texto Explicativo" xfId="12" builtinId="53" customBuiltin="1"/>
    <cellStyle name="Título 2" xfId="40" xr:uid="{A9C1A6E9-9ECC-41BF-804E-D46E5209E4C9}"/>
    <cellStyle name="Total" xfId="13" builtinId="25" customBuiltin="1"/>
    <cellStyle name="Verificar Célula" xfId="9" builtinId="23" customBuiltin="1"/>
    <cellStyle name="Vírgula 2" xfId="42" xr:uid="{88617538-C049-4166-82ED-F7EE11A661DF}"/>
    <cellStyle name="Vírgula 3" xfId="49" xr:uid="{2360CF9D-51E8-4052-9571-C29B37D0F4BB}"/>
    <cellStyle name="Vírgula 3 2" xfId="56" xr:uid="{A8ECB228-DB71-4FFE-A2CE-AE70D0C474CC}"/>
    <cellStyle name="Vírgula 3 3" xfId="63" xr:uid="{4DB496C7-5ED1-41D9-9BC5-6A990F5406F1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alignment wrapText="1"/>
    </dxf>
    <dxf>
      <numFmt numFmtId="164" formatCode="#,##0.00\ &quot;€&quot;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4" formatCode="#,##0.00\ &quot;€&quot;"/>
    </dxf>
    <dxf>
      <font>
        <b val="0"/>
      </font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3</xdr:row>
      <xdr:rowOff>104775</xdr:rowOff>
    </xdr:from>
    <xdr:to>
      <xdr:col>17</xdr:col>
      <xdr:colOff>491490</xdr:colOff>
      <xdr:row>17</xdr:row>
      <xdr:rowOff>30288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6E4E0D3-58AB-421C-8395-8B7510AD2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960120"/>
          <a:ext cx="10389870" cy="248583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tia.marques.ext\AppData\Local\Microsoft\Windows\INetCache\Content.Outlook\F24Z1ON9\Mapa%20Quantidade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 Mapa de Quantidades"/>
      <sheetName val="3. Parâmetros"/>
      <sheetName val="Preços AQ eSPap"/>
      <sheetName val="Tarifas"/>
      <sheetName val="4. Parâmetros"/>
      <sheetName val="Folha1"/>
      <sheetName val="tab apoio"/>
    </sheetNames>
    <sheetDataSet>
      <sheetData sheetId="0"/>
      <sheetData sheetId="1">
        <row r="12">
          <cell r="C12" t="str">
            <v>BTE (Baixa Tensão Especial)</v>
          </cell>
          <cell r="D12" t="str">
            <v>Diário</v>
          </cell>
          <cell r="E12" t="str">
            <v>Não Aplicável</v>
          </cell>
        </row>
        <row r="13">
          <cell r="C13" t="str">
            <v>MT (Média Tensão)</v>
          </cell>
          <cell r="D13" t="str">
            <v>Semanal sem feriados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a Ribeiro" refreshedDate="46084.643090162041" createdVersion="8" refreshedVersion="8" minRefreshableVersion="3" recordCount="747" xr:uid="{430C05BC-F894-42B9-A919-C541BFD51140}">
  <cacheSource type="worksheet">
    <worksheetSource ref="B11:N757" sheet="Modelo de Resposta"/>
  </cacheSource>
  <cacheFields count="13">
    <cacheField name="Código do Artigo SPMS" numFmtId="0">
      <sharedItems/>
    </cacheField>
    <cacheField name="Entidade" numFmtId="0">
      <sharedItems/>
    </cacheField>
    <cacheField name="Lotes" numFmtId="0">
      <sharedItems containsSemiMixedTypes="0" containsString="0" containsNumber="1" containsInteger="1" minValue="1" maxValue="25" count="2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designação do Artigo" numFmtId="0">
      <sharedItems/>
    </cacheField>
    <cacheField name="Marca Equipamento" numFmtId="0">
      <sharedItems/>
    </cacheField>
    <cacheField name="Modelo Equipamento" numFmtId="0">
      <sharedItems containsBlank="1" containsMixedTypes="1" containsNumber="1" containsInteger="1" minValue="51" maxValue="45807111" longText="1"/>
    </cacheField>
    <cacheField name="Tiplogia" numFmtId="0">
      <sharedItems/>
    </cacheField>
    <cacheField name="Capacidade mínima de Impressão do consumível" numFmtId="0">
      <sharedItems containsBlank="1" containsMixedTypes="1" containsNumber="1" containsInteger="1" minValue="165" maxValue="600000"/>
    </cacheField>
    <cacheField name="Alta Capacidade _x000a_" numFmtId="0">
      <sharedItems containsBlank="1"/>
    </cacheField>
    <cacheField name="Quantidade" numFmtId="0">
      <sharedItems containsSemiMixedTypes="0" containsString="0" containsNumber="1" minValue="1" maxValue="9000"/>
    </cacheField>
    <cacheField name="Preço Base Unitário" numFmtId="164">
      <sharedItems containsNonDate="0" containsString="0" containsBlank="1"/>
    </cacheField>
    <cacheField name="Preço Base Total" numFmtId="164">
      <sharedItems containsSemiMixedTypes="0" containsString="0" containsNumber="1" containsInteger="1" minValue="0" maxValue="0"/>
    </cacheField>
    <cacheField name="Observações" numFmtId="0">
      <sharedItems containsBlank="1" containsMixedTypes="1" containsNumber="1" containsInteger="1" minValue="522204516" maxValue="51086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7">
  <r>
    <s v="CIM 1705"/>
    <s v="ULSETEJO"/>
    <x v="0"/>
    <s v="Toner BROTHER Preto TN-2120"/>
    <s v="BROTHER"/>
    <s v="N/A"/>
    <s v="Original"/>
    <m/>
    <s v="Não"/>
    <n v="12"/>
    <m/>
    <n v="0"/>
    <m/>
  </r>
  <r>
    <s v="CIM 1706"/>
    <s v="ULSETEJO"/>
    <x v="0"/>
    <s v="Toner BROTHER TN3480 EQ BROTHER HL-L5100 DN"/>
    <s v="BROTHER"/>
    <s v="N/A"/>
    <s v="Original"/>
    <m/>
    <s v="Não"/>
    <n v="50"/>
    <m/>
    <n v="0"/>
    <m/>
  </r>
  <r>
    <s v="CIM 1742"/>
    <s v="ULSG"/>
    <x v="0"/>
    <s v="Drum kit p/ imp. Brother hl-l2360dn (dr2300)"/>
    <s v="BROTHER"/>
    <s v="HL-L2360DN (DR2300)"/>
    <s v="Original"/>
    <n v="1200"/>
    <s v="Sim"/>
    <n v="4"/>
    <m/>
    <n v="0"/>
    <m/>
  </r>
  <r>
    <s v="CIM 1743"/>
    <s v="ULSG"/>
    <x v="0"/>
    <s v="Toner p/ imp. Brother hl-l2360dn - tn2320 "/>
    <s v="BROTHER"/>
    <s v="HL-L2360DN - TN2320 "/>
    <s v="Original"/>
    <n v="2600"/>
    <s v="Sim"/>
    <n v="3"/>
    <m/>
    <n v="0"/>
    <m/>
  </r>
  <r>
    <s v="CIM 1856"/>
    <s v="ULSSJOSE"/>
    <x v="0"/>
    <s v="Tinteiro Amarelo para Impressora BROTHER DCP J4110DW"/>
    <s v="BROTHER"/>
    <s v="DCP J4110DW"/>
    <s v="Original"/>
    <n v="1000"/>
    <s v="Sim"/>
    <n v="5"/>
    <m/>
    <n v="0"/>
    <m/>
  </r>
  <r>
    <s v="CIM 1857"/>
    <s v="ULSSJOSE"/>
    <x v="0"/>
    <s v="Tinteiro Ciano para Impressora BROTHER DCP J4110DW"/>
    <s v="BROTHER"/>
    <s v="DCP J4110DW"/>
    <s v="Original"/>
    <n v="1000"/>
    <s v="Sim"/>
    <n v="5"/>
    <m/>
    <n v="0"/>
    <m/>
  </r>
  <r>
    <s v="CIM 1858"/>
    <s v="ULSSJOSE"/>
    <x v="0"/>
    <s v="Tinteiro Magenta para Impressora BROTHER DCP J4110DW"/>
    <s v="BROTHER"/>
    <s v="DCP J4110DW"/>
    <s v="Original"/>
    <n v="1000"/>
    <s v="Sim"/>
    <n v="5"/>
    <m/>
    <n v="0"/>
    <m/>
  </r>
  <r>
    <s v="CIM 1859"/>
    <s v="ULSSJOSE"/>
    <x v="0"/>
    <s v="Tinteiro Preto para Impressora BROTHER DCP J4110DX"/>
    <s v="BROTHER"/>
    <s v="DCP J4110DW"/>
    <s v="Original"/>
    <n v="1000"/>
    <s v="Sim"/>
    <n v="5"/>
    <m/>
    <n v="0"/>
    <m/>
  </r>
  <r>
    <s v="CIM1000"/>
    <s v="IPOC"/>
    <x v="0"/>
    <s v="Drum kit p/ imp. Brother hl-l2360dn (dr2300)"/>
    <s v="BROTHER"/>
    <s v="IMP. BROTHER HL-L2360DN (DR2300)"/>
    <s v="Original"/>
    <n v="1200"/>
    <s v="Sim"/>
    <n v="12"/>
    <m/>
    <n v="0"/>
    <m/>
  </r>
  <r>
    <s v="CIM1002"/>
    <s v="IPOC"/>
    <x v="0"/>
    <s v="Drum kit p/impressora brother hl-l2370 dn "/>
    <s v="BROTHER"/>
    <s v="IMPRESSORA BROTHER HL-L2370 DN "/>
    <s v="Original"/>
    <n v="12000"/>
    <s v="Sim"/>
    <n v="2"/>
    <m/>
    <n v="0"/>
    <m/>
  </r>
  <r>
    <s v="CIM0996"/>
    <s v="IPOC"/>
    <x v="0"/>
    <s v="Fita super adesiva p/ imp brother p-touch 2700 12mm x 8mt "/>
    <s v="BROTHER"/>
    <s v="IMP BROTHER P-TOUCH 2700 12MM X 8MT "/>
    <s v="Original"/>
    <m/>
    <s v="Sim"/>
    <n v="6"/>
    <m/>
    <n v="0"/>
    <m/>
  </r>
  <r>
    <s v="CIM0997"/>
    <s v="IPOC"/>
    <x v="0"/>
    <s v="Fita super adesiva p/ imp brother p-touch 2700 24mm x 8mt"/>
    <s v="BROTHER"/>
    <s v="IMP BROTHER P-TOUCH 2700 24MM X 8MT"/>
    <s v="Original"/>
    <n v="3000"/>
    <s v="Sim"/>
    <n v="4"/>
    <m/>
    <n v="0"/>
    <m/>
  </r>
  <r>
    <s v="CIM0999"/>
    <s v="IPOC"/>
    <x v="0"/>
    <s v="Toner p/ imp. Brother hl-l2360dn - tn2320 "/>
    <s v="BROTHER"/>
    <s v="IMP. BROTHER HL-L2360DN - TN2320 "/>
    <s v="Original"/>
    <n v="2600"/>
    <s v="Sim"/>
    <n v="60"/>
    <m/>
    <n v="0"/>
    <m/>
  </r>
  <r>
    <s v="CIM1001"/>
    <s v="IPOC"/>
    <x v="0"/>
    <s v="Toner p/imp. Brother hl-l2370dn (tn2420)"/>
    <s v="BROTHER"/>
    <s v="IMP. BROTHER HL-L2370DN (TN2420)"/>
    <s v="Original"/>
    <n v="3000"/>
    <s v="Sim"/>
    <n v="12"/>
    <m/>
    <n v="0"/>
    <m/>
  </r>
  <r>
    <s v="CIM1308"/>
    <s v="ULSAA"/>
    <x v="0"/>
    <s v="Toner brother tn3380"/>
    <s v="BROTHER"/>
    <s v="HL 5450 DN"/>
    <s v="Original"/>
    <s v="8 000 pág."/>
    <s v="Não"/>
    <n v="1"/>
    <m/>
    <n v="0"/>
    <m/>
  </r>
  <r>
    <s v="CIM0924"/>
    <s v="ULSAC"/>
    <x v="0"/>
    <s v="Fita impressao brother tze241 18mmx8m laminada"/>
    <s v="BROTHER"/>
    <s v="ROTHER TZE241"/>
    <s v="Original"/>
    <m/>
    <s v="Não"/>
    <n v="1"/>
    <m/>
    <n v="0"/>
    <m/>
  </r>
  <r>
    <s v="CIM1491"/>
    <s v="ULSAC"/>
    <x v="0"/>
    <s v="TONER PRETO IMP BROTHER HL-L237ODN                                              "/>
    <s v="BROTHER"/>
    <s v="HL L237ODN           "/>
    <s v="Original"/>
    <m/>
    <s v="Não"/>
    <n v="30"/>
    <m/>
    <n v="0"/>
    <m/>
  </r>
  <r>
    <s v="CIM1379"/>
    <s v="ULSSJOSE"/>
    <x v="0"/>
    <s v="CORREIA BROTHER  HL-L3230CDW"/>
    <s v="BROTHER"/>
    <s v="HL-L3230CDW"/>
    <s v="Original"/>
    <n v="45000"/>
    <s v="Não"/>
    <n v="1"/>
    <m/>
    <n v="0"/>
    <m/>
  </r>
  <r>
    <s v="CIM1378"/>
    <s v="ULSSJOSE"/>
    <x v="0"/>
    <s v="TAMBOR DE IMAGEM BROTHER HL-L3230CDW"/>
    <s v="BROTHER"/>
    <s v="HL-L3230CDW"/>
    <s v="Original"/>
    <n v="15000"/>
    <s v="Não"/>
    <n v="1"/>
    <m/>
    <n v="0"/>
    <m/>
  </r>
  <r>
    <s v="CIM1381"/>
    <s v="ULSSJOSE"/>
    <x v="0"/>
    <s v="TONER AMARELO BROTHER  HL-L3230CDW"/>
    <s v="BROTHER"/>
    <s v="HL-L3230CDW"/>
    <s v="Original"/>
    <n v="2000"/>
    <s v="Sim"/>
    <n v="1"/>
    <m/>
    <n v="0"/>
    <m/>
  </r>
  <r>
    <s v="CIM1383"/>
    <s v="ULSSJOSE"/>
    <x v="0"/>
    <s v="TONER CIANO BROTHER  HL-L3230CDW"/>
    <s v="BROTHER"/>
    <s v="HL-L3230CDW"/>
    <s v="Original"/>
    <n v="2000"/>
    <s v="Sim"/>
    <n v="1"/>
    <m/>
    <n v="0"/>
    <m/>
  </r>
  <r>
    <s v="CIM1382"/>
    <s v="ULSSJOSE"/>
    <x v="0"/>
    <s v="TONER MANGETA BROTHER  HL-L3230CDW"/>
    <s v="BROTHER"/>
    <s v="HL-L3230CDW"/>
    <s v="Original"/>
    <n v="2000"/>
    <s v="Sim"/>
    <n v="1"/>
    <m/>
    <n v="0"/>
    <m/>
  </r>
  <r>
    <s v="CIM1380"/>
    <s v="ULSSJOSE"/>
    <x v="0"/>
    <s v="TONER PRETO BROTHER  HL-L3230CDW"/>
    <s v="BROTHER"/>
    <s v="HL-L3230CDW"/>
    <s v="Original"/>
    <n v="2500"/>
    <s v="Sim"/>
    <n v="1"/>
    <m/>
    <n v="0"/>
    <m/>
  </r>
  <r>
    <s v="CIM 1733"/>
    <s v="ULSG"/>
    <x v="1"/>
    <s v="Tambor P/ Impressora  BROTHER HL2250 DN (REF DR 2200)"/>
    <s v="BROTHER"/>
    <s v="HL 2250 DN"/>
    <s v="Reciclado"/>
    <m/>
    <m/>
    <n v="2"/>
    <m/>
    <n v="0"/>
    <m/>
  </r>
  <r>
    <s v="CIM 1734"/>
    <s v="ULSG"/>
    <x v="1"/>
    <s v="Toner para BROTHER HL 2250 DN (TN 2210)"/>
    <s v="BROTHER"/>
    <s v="HL 2250 DN"/>
    <s v="Reciclado"/>
    <m/>
    <m/>
    <n v="2"/>
    <m/>
    <n v="0"/>
    <m/>
  </r>
  <r>
    <s v="CIM 1842"/>
    <s v="ULSRA"/>
    <x v="1"/>
    <s v="Tambor brother hl-l2310d/dcp-l2110d/mfc-l2710dn (dr-2400) - Preto"/>
    <s v="BROTHER"/>
    <s v="HL-L2310D/DCP-L2110D/MFC-L2710DN"/>
    <s v="Reciclado"/>
    <n v="12000"/>
    <s v="Não"/>
    <n v="15"/>
    <m/>
    <n v="0"/>
    <m/>
  </r>
  <r>
    <s v="CIM 1843"/>
    <s v="ULSRA"/>
    <x v="1"/>
    <s v="Toner brother hl-l2310d (tn-2420) - Preto"/>
    <s v="BROTHER"/>
    <s v="HL-L2310D"/>
    <s v="Reciclado"/>
    <n v="3000"/>
    <s v="Não"/>
    <n v="40"/>
    <m/>
    <n v="0"/>
    <m/>
  </r>
  <r>
    <s v="CIM1284"/>
    <s v="ULSAA"/>
    <x v="1"/>
    <s v="Toner brother tn 3170"/>
    <s v="BROTHER"/>
    <s v="HL 5240 L"/>
    <s v="Reciclado"/>
    <s v="8 000 pág"/>
    <s v="Sim"/>
    <n v="1"/>
    <m/>
    <n v="0"/>
    <m/>
  </r>
  <r>
    <s v="CIM1285"/>
    <s v="ULSAA"/>
    <x v="1"/>
    <s v="Toner brother tn3230"/>
    <s v="BROTHER"/>
    <s v="HL 5340 BL"/>
    <s v="Reciclado"/>
    <s v="8 000 pág"/>
    <s v="Sim"/>
    <n v="1"/>
    <m/>
    <n v="0"/>
    <m/>
  </r>
  <r>
    <s v="CIM0245"/>
    <s v="ULSCBeira"/>
    <x v="1"/>
    <s v="Toner amarelo ref. Tn-321y brother"/>
    <s v="BROTHER"/>
    <s v="HL - L8250R"/>
    <s v="Reciclado"/>
    <m/>
    <s v="Sim"/>
    <n v="1"/>
    <m/>
    <n v="0"/>
    <m/>
  </r>
  <r>
    <s v="CIM0246"/>
    <s v="ULSCBeira"/>
    <x v="1"/>
    <s v="Toner cyan ref. Tn-321c brother"/>
    <s v="BROTHER"/>
    <s v="HL - L8250R"/>
    <s v="Reciclado"/>
    <m/>
    <s v="Sim"/>
    <n v="1"/>
    <m/>
    <n v="0"/>
    <m/>
  </r>
  <r>
    <s v="CIM0244"/>
    <s v="ULSCBeira"/>
    <x v="1"/>
    <s v="Toner mangenta ref. Tn-321m"/>
    <s v="BROTHER"/>
    <s v="HL - L8250R"/>
    <s v="Reciclado"/>
    <m/>
    <s v="Sim"/>
    <n v="1"/>
    <m/>
    <n v="0"/>
    <m/>
  </r>
  <r>
    <s v="CIM0238"/>
    <s v="ULSCBeira"/>
    <x v="1"/>
    <s v="Toner preto ref. Tn-321 bk "/>
    <s v="BROTHER"/>
    <s v="HL - L8250R"/>
    <s v="Reciclado"/>
    <m/>
    <s v="Sim"/>
    <n v="1"/>
    <m/>
    <n v="0"/>
    <m/>
  </r>
  <r>
    <s v="CIM 1640"/>
    <s v="ULSASI"/>
    <x v="2"/>
    <s v="TONER CANON LBP 162 DW 051"/>
    <s v="CANON"/>
    <s v="N/A"/>
    <s v="Original"/>
    <m/>
    <m/>
    <n v="10"/>
    <m/>
    <n v="0"/>
    <m/>
  </r>
  <r>
    <s v="CIM0984"/>
    <s v="IPOC"/>
    <x v="2"/>
    <s v="Tinteiro imp. Canon - cor cl-41"/>
    <s v="CANON"/>
    <s v="IMP. CANON  CL-41"/>
    <s v="Original"/>
    <n v="308"/>
    <s v="Sim"/>
    <n v="3"/>
    <m/>
    <n v="0"/>
    <m/>
  </r>
  <r>
    <s v="CIM0989"/>
    <s v="IPOC"/>
    <x v="2"/>
    <s v="Tinteiro imp. Canon - preto pg-40"/>
    <s v="CANON"/>
    <s v="IMP. CANON PG-40"/>
    <s v="Original"/>
    <n v="760"/>
    <s v="Sim"/>
    <n v="3"/>
    <m/>
    <n v="0"/>
    <m/>
  </r>
  <r>
    <s v="CIM0985"/>
    <s v="IPOC"/>
    <x v="2"/>
    <s v="Tinteiro imp. Canon mg 36505 - preto  pg-540"/>
    <s v="CANON"/>
    <s v="IMP. CANON MG 36505"/>
    <s v="Original"/>
    <n v="180"/>
    <s v="Sim"/>
    <n v="1"/>
    <m/>
    <n v="0"/>
    <m/>
  </r>
  <r>
    <s v="CIM0986"/>
    <s v="IPOC"/>
    <x v="2"/>
    <s v="Tinteiro imp. Canon mp 36505 - cor cl-541"/>
    <s v="CANON"/>
    <s v="IMP. CANON MG 36505"/>
    <s v="Original"/>
    <n v="180"/>
    <s v="Sim"/>
    <n v="1"/>
    <m/>
    <n v="0"/>
    <m/>
  </r>
  <r>
    <s v="CIM0988"/>
    <s v="IPOC"/>
    <x v="2"/>
    <s v="Tinteiro imp. Canon mp270 - cor cl-513"/>
    <s v="CANON"/>
    <s v="IMP. CANON MP270"/>
    <s v="Original"/>
    <n v="350"/>
    <s v="Sim"/>
    <n v="12"/>
    <m/>
    <n v="0"/>
    <m/>
  </r>
  <r>
    <s v="CIM0987"/>
    <s v="IPOC"/>
    <x v="2"/>
    <s v="Tinteiro imp. Canon mp270 - preto  pg-512"/>
    <s v="CANON"/>
    <s v="IMP. CANON MP270"/>
    <s v="Original"/>
    <n v="400"/>
    <s v="Sim"/>
    <n v="12"/>
    <m/>
    <n v="0"/>
    <m/>
  </r>
  <r>
    <s v="CIM0990"/>
    <s v="IPOC"/>
    <x v="2"/>
    <s v="Tinteiro imp. Canon ts8350 - amarelo 581 y xxl"/>
    <s v="CANON"/>
    <s v="IMP. CANON TS8350"/>
    <s v="Original"/>
    <n v="830"/>
    <s v="Sim"/>
    <n v="1"/>
    <m/>
    <n v="0"/>
    <m/>
  </r>
  <r>
    <s v="CIM0992"/>
    <s v="IPOC"/>
    <x v="2"/>
    <s v="Tinteiro imp. Canon ts8350 - azul 581 c xxl"/>
    <s v="CANON"/>
    <s v="IMP. CANON TS8350"/>
    <s v="Original"/>
    <n v="259"/>
    <s v="Sim"/>
    <n v="1"/>
    <m/>
    <n v="0"/>
    <m/>
  </r>
  <r>
    <s v="CIM0991"/>
    <s v="IPOC"/>
    <x v="2"/>
    <s v="Tinteiro imp. Canon ts8350 - magenta 581 m xxl"/>
    <s v="CANON"/>
    <s v="IMP. CANON TS8350"/>
    <s v="Original"/>
    <n v="747"/>
    <s v="Sim"/>
    <n v="1"/>
    <m/>
    <n v="0"/>
    <m/>
  </r>
  <r>
    <s v="CIM0993"/>
    <s v="IPOC"/>
    <x v="2"/>
    <s v="Tinteiro imp. Canon ts8350 - preto 580 pgbk xxl"/>
    <s v="CANON"/>
    <s v="IMP. CANON TS8350"/>
    <s v="Original"/>
    <n v="600"/>
    <s v="Sim"/>
    <n v="1"/>
    <m/>
    <n v="0"/>
    <m/>
  </r>
  <r>
    <s v="CIM0994"/>
    <s v="IPOC"/>
    <x v="2"/>
    <s v="Tinteiro imp. Canon ts8350 - preto 581 bk xxl"/>
    <s v="CANON"/>
    <s v="IMP. CANON TS8350"/>
    <s v="Original"/>
    <n v="800"/>
    <s v="Sim"/>
    <n v="1"/>
    <m/>
    <n v="0"/>
    <m/>
  </r>
  <r>
    <s v="CIM1307"/>
    <s v="ULSAA"/>
    <x v="2"/>
    <s v="Toner canon 052 preto"/>
    <s v="CANON"/>
    <s v="I-SENSYS - LBP212DW"/>
    <s v="Original"/>
    <s v="3 100 pág."/>
    <s v="Não"/>
    <n v="1"/>
    <m/>
    <n v="0"/>
    <m/>
  </r>
  <r>
    <s v="CIM1375"/>
    <s v="ULSCBeira"/>
    <x v="2"/>
    <s v="TINTEIRO AMARELO REF. CLI-526Y P/IMPRESSORA CANON"/>
    <s v="CANON"/>
    <s v="IP4850"/>
    <s v="Original"/>
    <s v="19 ml"/>
    <s v="Não"/>
    <n v="1"/>
    <m/>
    <n v="0"/>
    <m/>
  </r>
  <r>
    <s v="CIM1374"/>
    <s v="ULSCBeira"/>
    <x v="2"/>
    <s v="TINTEIRO CYAN REF.CLI-526C P/IMPRESSORA CANON"/>
    <s v="CANON"/>
    <s v="IP4850"/>
    <s v="Original"/>
    <s v="19 ml"/>
    <s v="Não"/>
    <n v="1"/>
    <m/>
    <n v="0"/>
    <m/>
  </r>
  <r>
    <s v="CIM1376"/>
    <s v="ULSCBeira"/>
    <x v="2"/>
    <s v="TINTEIRO MAGENTA REF. CLI-526M P/IMPRESSORA CANON"/>
    <s v="CANON"/>
    <s v="IP4850"/>
    <s v="Original"/>
    <s v="19 ml"/>
    <s v="Não"/>
    <n v="1"/>
    <m/>
    <n v="0"/>
    <m/>
  </r>
  <r>
    <s v="CIM1373"/>
    <s v="ULSCBeira"/>
    <x v="2"/>
    <s v="TINTEIRO PRETO REF. CLI-526BK P/IMPRESSORA CANON"/>
    <s v="CANON"/>
    <s v="IP4850"/>
    <s v="Original"/>
    <s v="19 ml"/>
    <s v="Não"/>
    <n v="1"/>
    <m/>
    <n v="0"/>
    <m/>
  </r>
  <r>
    <s v="CIM1372"/>
    <s v="ULSCBeira"/>
    <x v="2"/>
    <s v="TINTEIRO PRETO REF. PGI-525PGB P/IMPRESSORA CANON"/>
    <s v="CANON"/>
    <s v="IP4850"/>
    <s v="Original"/>
    <s v="19 ml"/>
    <s v="Não"/>
    <n v="1"/>
    <m/>
    <n v="0"/>
    <m/>
  </r>
  <r>
    <s v="CIM1218"/>
    <s v="ULSM"/>
    <x v="2"/>
    <s v="Tambor p/ impressora canon i-sensys lbp162dw cartridge 051"/>
    <s v="CANON"/>
    <n v="51"/>
    <s v="Original"/>
    <s v="23 000 pág."/>
    <s v="Sim"/>
    <n v="2"/>
    <m/>
    <n v="0"/>
    <m/>
  </r>
  <r>
    <s v="CIM1221"/>
    <s v="ULSM"/>
    <x v="2"/>
    <s v="Toner p/ impressora canon i-sensys lbp663cdw 055h"/>
    <s v="CANON"/>
    <s v="055H"/>
    <s v="Original"/>
    <s v="7 600 pág."/>
    <s v="Sim"/>
    <n v="2"/>
    <m/>
    <n v="0"/>
    <m/>
  </r>
  <r>
    <s v="CIM1222"/>
    <s v="ULSM"/>
    <x v="2"/>
    <s v="Toner p/ impressora canon i-sensys lbp663cdw 055h - amarelo"/>
    <s v="CANON"/>
    <s v="055H"/>
    <s v="Original"/>
    <s v="5 900 pág."/>
    <s v="Sim"/>
    <n v="2"/>
    <m/>
    <n v="0"/>
    <m/>
  </r>
  <r>
    <s v="CIM1223"/>
    <s v="ULSM"/>
    <x v="2"/>
    <s v="Toner p/ impressora canon i-sensys lbp663cdw 055h - ciano"/>
    <s v="CANON"/>
    <s v="055H"/>
    <s v="Original"/>
    <s v="5 900 pág."/>
    <s v="Sim"/>
    <n v="2"/>
    <m/>
    <n v="0"/>
    <m/>
  </r>
  <r>
    <s v="CIM1224"/>
    <s v="ULSM"/>
    <x v="2"/>
    <s v="Toner p/ impressora canon i-sensys lbp663cdw 055h - magenta"/>
    <s v="CANON"/>
    <s v="055H"/>
    <s v="Original"/>
    <s v="5 900 pág."/>
    <s v="Sim"/>
    <n v="2"/>
    <m/>
    <n v="0"/>
    <m/>
  </r>
  <r>
    <s v="CIM1473"/>
    <s v="ULSSA"/>
    <x v="2"/>
    <s v="TONER P/A IMP. CANON 719 H (LBP 670DN)"/>
    <s v="CANON"/>
    <m/>
    <s v="Original"/>
    <m/>
    <s v="Não"/>
    <n v="5"/>
    <m/>
    <n v="0"/>
    <n v="522204685"/>
  </r>
  <r>
    <s v="CIM0263"/>
    <s v="ULSSJOSE"/>
    <x v="2"/>
    <s v="Fusor para impressora canon imagerunner advanced 4525                           "/>
    <s v="CANON"/>
    <s v="IMAGERUNNER ADVANCE 4525I"/>
    <s v="Original"/>
    <s v="N/A"/>
    <s v="N/A"/>
    <n v="2"/>
    <m/>
    <n v="0"/>
    <m/>
  </r>
  <r>
    <s v="CIM0273"/>
    <s v="ULSSJOSE"/>
    <x v="2"/>
    <s v="Recipiente residuos de toner p/ impressora canon imagerunner advance c5540i"/>
    <s v="CANON"/>
    <s v="IMAGERUNNER ADVANCE C5540I"/>
    <s v="Original"/>
    <s v="N/A"/>
    <s v="N/A"/>
    <n v="2"/>
    <m/>
    <n v="0"/>
    <m/>
  </r>
  <r>
    <s v="CIM0265"/>
    <s v="ULSSJOSE"/>
    <x v="2"/>
    <s v="Recipiente residuos de toner p/ impressora canon ir c355i"/>
    <s v="CANON"/>
    <s v="IMAGERUNNER ADVANCE C355I"/>
    <s v="Original"/>
    <n v="25000"/>
    <s v="N/A"/>
    <n v="1"/>
    <m/>
    <n v="0"/>
    <m/>
  </r>
  <r>
    <s v="CIM0262"/>
    <s v="ULSSJOSE"/>
    <x v="2"/>
    <s v="Toner p/impressora canon imagerunner advance 4525i - preto"/>
    <s v="CANON"/>
    <s v="IMAGERUNNER ADVANCE 4525I"/>
    <s v="Original"/>
    <n v="40000"/>
    <s v="Não"/>
    <n v="2"/>
    <m/>
    <n v="0"/>
    <m/>
  </r>
  <r>
    <s v="CIM0266"/>
    <s v="ULSSJOSE"/>
    <x v="2"/>
    <s v="Toner p/impressora canon imagerunner advance c355i - amarelo"/>
    <s v="CANON"/>
    <s v="IMAGERUNNER ADVANCE C355I"/>
    <s v="Original"/>
    <n v="15000"/>
    <s v="Não"/>
    <n v="1"/>
    <m/>
    <n v="0"/>
    <m/>
  </r>
  <r>
    <s v="CIM0267"/>
    <s v="ULSSJOSE"/>
    <x v="2"/>
    <s v="Toner p/impressora canon imagerunner advance c355i - cyan"/>
    <s v="CANON"/>
    <s v="IMAGERUNNER ADVANCE C355I"/>
    <s v="Original"/>
    <n v="15000"/>
    <s v="Não"/>
    <n v="2"/>
    <m/>
    <n v="0"/>
    <m/>
  </r>
  <r>
    <s v="CIM0268"/>
    <s v="ULSSJOSE"/>
    <x v="2"/>
    <s v="Toner p/impressora canon imagerunner advance c355i - magenta"/>
    <s v="CANON"/>
    <s v="IMAGERUNNER ADVANCE C355I"/>
    <s v="Original"/>
    <n v="15000"/>
    <s v="Não"/>
    <n v="1"/>
    <m/>
    <n v="0"/>
    <m/>
  </r>
  <r>
    <s v="CIM0264"/>
    <s v="ULSSJOSE"/>
    <x v="2"/>
    <s v="Toner p/impressora canon imagerunner advance c355i - preto"/>
    <s v="CANON"/>
    <s v="IMAGERUNNER ADVANCE C355I"/>
    <s v="Original"/>
    <n v="15000"/>
    <s v="Não"/>
    <n v="3"/>
    <m/>
    <n v="0"/>
    <m/>
  </r>
  <r>
    <s v="CIM0385"/>
    <s v="ULSSJOSE"/>
    <x v="2"/>
    <s v="Toner p/impressora canon isensys lbp 613 cdw - preto"/>
    <s v="CANON"/>
    <s v="ISENSYS LBP 613 CDW"/>
    <s v="Original"/>
    <n v="2500"/>
    <s v="Sim"/>
    <n v="2"/>
    <m/>
    <n v="0"/>
    <m/>
  </r>
  <r>
    <s v="CIM0390"/>
    <s v="ULSSJOSE"/>
    <x v="2"/>
    <s v="Toner p/multifuncoes canon 719h (cartridge)"/>
    <s v="CANON"/>
    <s v="LPB 251dw"/>
    <s v="Original"/>
    <n v="6000"/>
    <s v="Sim"/>
    <n v="97"/>
    <m/>
    <n v="0"/>
    <m/>
  </r>
  <r>
    <s v="CIM1220"/>
    <s v="ULSM"/>
    <x v="3"/>
    <s v="Toner canon i-sensys lbp223dw 057 h"/>
    <s v="CANON"/>
    <s v="057H"/>
    <s v="Reciclado"/>
    <s v="10 000 pág."/>
    <s v="Sim"/>
    <n v="50"/>
    <m/>
    <n v="0"/>
    <m/>
  </r>
  <r>
    <s v="CIM1216"/>
    <s v="ULSM"/>
    <x v="3"/>
    <s v="Toner p/ impressora canon i-sensys lbp162dw cartridge 051 h"/>
    <s v="CANON"/>
    <s v="051H"/>
    <s v="Reciclado"/>
    <s v="4 100 pág."/>
    <s v="Sim"/>
    <n v="4"/>
    <m/>
    <n v="0"/>
    <m/>
  </r>
  <r>
    <s v="CIM1219"/>
    <s v="ULSM"/>
    <x v="3"/>
    <s v="Toner p/ impressora canon i-sensys lbp212dw 052h"/>
    <s v="CANON"/>
    <s v="052H"/>
    <s v="Reciclado"/>
    <s v="9 200 pág."/>
    <s v="Sim"/>
    <n v="5"/>
    <m/>
    <n v="0"/>
    <m/>
  </r>
  <r>
    <s v="CIM1217"/>
    <s v="ULSM"/>
    <x v="3"/>
    <s v="Toner p/ impressora canon i-sensys lbp6650dn 0719 h"/>
    <s v="CANON"/>
    <s v="719H"/>
    <s v="Reciclado"/>
    <s v="6 500 pág."/>
    <s v="Sim"/>
    <n v="150"/>
    <m/>
    <n v="0"/>
    <m/>
  </r>
  <r>
    <s v="CIM1469"/>
    <s v="ULSSA"/>
    <x v="3"/>
    <s v="TONER P/A IMP. CANON 719 (LBP 670DN) - RECICLADO"/>
    <s v="CANON"/>
    <s v="LBP 670DN"/>
    <s v="Reciclado"/>
    <m/>
    <s v="Não"/>
    <n v="750"/>
    <m/>
    <n v="0"/>
    <n v="522204690"/>
  </r>
  <r>
    <s v="CIM 1860"/>
    <s v="ULSSJOSE"/>
    <x v="4"/>
    <s v="Tinteiro Robot CDS - CODONICS VIRTUA"/>
    <s v="CODONICS"/>
    <s v="VIRTUA"/>
    <s v="Original"/>
    <s v="N/A"/>
    <s v="N/A"/>
    <n v="4"/>
    <m/>
    <n v="0"/>
    <m/>
  </r>
  <r>
    <s v="CIM 1594"/>
    <s v="ICAD"/>
    <x v="5"/>
    <s v="Toner p/Impressora epson al-m200"/>
    <s v="EPSON"/>
    <s v="AL-M200"/>
    <s v="Original"/>
    <s v="Sim"/>
    <s v="Sim"/>
    <n v="6"/>
    <m/>
    <n v="0"/>
    <m/>
  </r>
  <r>
    <s v="CIM 1610"/>
    <s v="ULSAC"/>
    <x v="5"/>
    <s v="104 EcoTank Black ink bottle (WE) (65 ml)"/>
    <s v="EPSON"/>
    <s v="ECOTANK ET-4810"/>
    <s v="Original"/>
    <m/>
    <s v="Não"/>
    <n v="5"/>
    <m/>
    <n v="0"/>
    <m/>
  </r>
  <r>
    <s v="CIM 1611"/>
    <s v="ULSAC"/>
    <x v="5"/>
    <s v="104 EcoTank Cyan ink bottle (WE) (65 ml)"/>
    <s v="EPSON"/>
    <s v="ECOTANK ET-4810"/>
    <s v="Original"/>
    <m/>
    <s v="Não"/>
    <n v="5"/>
    <m/>
    <n v="0"/>
    <m/>
  </r>
  <r>
    <s v="CIM 1612"/>
    <s v="ULSAC"/>
    <x v="5"/>
    <s v="104 EcoTank Magenta ink bottle (WE) (65 ml)"/>
    <s v="EPSON"/>
    <s v="ECOTANK ET-4810"/>
    <s v="Original"/>
    <m/>
    <s v="Não"/>
    <n v="5"/>
    <m/>
    <n v="0"/>
    <m/>
  </r>
  <r>
    <s v="CIM 1613"/>
    <s v="ULSAC"/>
    <x v="5"/>
    <s v="104 EcoTank Yellow ink bottle (WE) (65 ml)"/>
    <s v="EPSON"/>
    <s v="ECOTANK ET-4810"/>
    <s v="Original"/>
    <m/>
    <s v="Não"/>
    <n v="5"/>
    <m/>
    <n v="0"/>
    <m/>
  </r>
  <r>
    <s v="CIM 1614"/>
    <s v="ULSAC"/>
    <x v="5"/>
    <s v="Carga EPSON C5790 WF Azul                                                       "/>
    <s v="EPSON"/>
    <s v="EPSON C5790"/>
    <s v="Original"/>
    <m/>
    <s v="Não"/>
    <n v="1"/>
    <m/>
    <n v="0"/>
    <m/>
  </r>
  <r>
    <s v="CIM 1615"/>
    <s v="ULSAC"/>
    <x v="5"/>
    <s v="Carga EPSON C5790 WF Magenta                                                    "/>
    <s v="EPSON"/>
    <s v="EPSON C5790"/>
    <s v="Original"/>
    <m/>
    <s v="Não"/>
    <n v="1"/>
    <m/>
    <n v="0"/>
    <m/>
  </r>
  <r>
    <s v="CIM 1616"/>
    <s v="ULSAC"/>
    <x v="5"/>
    <s v="Carga EPSON C5790 WF Preto                                                      "/>
    <s v="EPSON"/>
    <s v="EPSON C5790"/>
    <s v="Original"/>
    <m/>
    <s v="Não"/>
    <n v="1"/>
    <m/>
    <n v="0"/>
    <m/>
  </r>
  <r>
    <s v="CIM 1617"/>
    <s v="ULSAC"/>
    <x v="5"/>
    <s v="Carga EPSON C5790 WF YELLOW                                                     "/>
    <s v="EPSON"/>
    <s v="EPSON C5790"/>
    <s v="Original"/>
    <m/>
    <s v="Não"/>
    <n v="1"/>
    <m/>
    <n v="0"/>
    <m/>
  </r>
  <r>
    <s v="CIM 1618"/>
    <s v="ULSAC"/>
    <x v="5"/>
    <s v="KIT Manutenção P/ EPSON ET-M1180"/>
    <s v="EPSON"/>
    <s v="ECOTANK 111 ET1180 Preto  "/>
    <s v="Original"/>
    <m/>
    <s v="Não"/>
    <n v="5"/>
    <m/>
    <n v="0"/>
    <m/>
  </r>
  <r>
    <s v="CIM 1619"/>
    <s v="ULSAC"/>
    <x v="5"/>
    <s v="Tinteiro EPSON ECOTANK 104 ET2811 MULTICOR                                      "/>
    <s v="EPSON"/>
    <s v="ECOTANK ET-2810"/>
    <s v="Original"/>
    <m/>
    <s v="Não"/>
    <n v="2"/>
    <m/>
    <n v="0"/>
    <m/>
  </r>
  <r>
    <s v="CIM 1641"/>
    <s v="ULSASI"/>
    <x v="5"/>
    <s v="TONER EPSON AL-M200/MX200 PRETO"/>
    <s v="EPSON"/>
    <s v="N/A"/>
    <s v="Original"/>
    <m/>
    <m/>
    <n v="2"/>
    <m/>
    <n v="0"/>
    <m/>
  </r>
  <r>
    <s v="CIM 1770"/>
    <s v="ULSO"/>
    <x v="5"/>
    <s v="Tinteiro Amarelo EPSON"/>
    <s v="EPSON"/>
    <s v="WF-6590DW"/>
    <s v="Original"/>
    <m/>
    <m/>
    <n v="17"/>
    <m/>
    <n v="0"/>
    <m/>
  </r>
  <r>
    <s v="CIM 1771"/>
    <s v="ULSO"/>
    <x v="5"/>
    <s v="Tinteiro Magenta EPSON"/>
    <s v="EPSON"/>
    <s v="WF-6590DW"/>
    <s v="Original"/>
    <m/>
    <m/>
    <n v="17"/>
    <m/>
    <n v="0"/>
    <m/>
  </r>
  <r>
    <s v="CIM 1821"/>
    <s v="ULSPVVC"/>
    <x v="5"/>
    <s v="Tinteiro Amarelo ref.pjic5"/>
    <s v="EPSON"/>
    <s v="PP-100II"/>
    <s v="Original"/>
    <s v="N/A"/>
    <s v="Sim"/>
    <n v="1"/>
    <m/>
    <n v="0"/>
    <m/>
  </r>
  <r>
    <s v="CIM 1822"/>
    <s v="ULSPVVC"/>
    <x v="5"/>
    <s v="Tinteiro Ciano claro ref.pjic2"/>
    <s v="EPSON"/>
    <s v="PP-100III "/>
    <s v="Original"/>
    <s v="N/A"/>
    <s v="Sim"/>
    <n v="1"/>
    <m/>
    <n v="0"/>
    <m/>
  </r>
  <r>
    <s v="CIM 1823"/>
    <s v="ULSPVVC"/>
    <x v="5"/>
    <s v="Tinteiro Ciano ref. Pjic1"/>
    <s v="EPSON"/>
    <s v="PP-100III "/>
    <s v="Original"/>
    <s v="N/A"/>
    <s v="Sim"/>
    <n v="1"/>
    <m/>
    <n v="0"/>
    <m/>
  </r>
  <r>
    <s v="CIM 1824"/>
    <s v="ULSPVVC"/>
    <x v="5"/>
    <s v="Tinteiro Magenta claro ref.pjic3"/>
    <s v="EPSON"/>
    <s v="PP-100III "/>
    <s v="Original"/>
    <s v="N/A"/>
    <s v="Sim"/>
    <n v="1"/>
    <m/>
    <n v="0"/>
    <m/>
  </r>
  <r>
    <s v="CIM 1825"/>
    <s v="ULSPVVC"/>
    <x v="5"/>
    <s v="Tinteiro Magenta ref.pjic4"/>
    <s v="EPSON"/>
    <s v="PP-100III "/>
    <s v="Original"/>
    <s v="N/A"/>
    <s v="Sim"/>
    <n v="1"/>
    <m/>
    <n v="0"/>
    <m/>
  </r>
  <r>
    <s v="CIM 1826"/>
    <s v="ULSPVVC"/>
    <x v="5"/>
    <s v="Tinteiro Preto ref. Pjic6"/>
    <s v="EPSON"/>
    <s v="PP-100III "/>
    <s v="Original"/>
    <s v="N/A"/>
    <s v="Sim"/>
    <n v="1"/>
    <m/>
    <n v="0"/>
    <m/>
  </r>
  <r>
    <s v="CIM 1861"/>
    <s v="ULSSJOSE"/>
    <x v="5"/>
    <s v="Fita EPSON LQ-350"/>
    <s v="EPSON"/>
    <s v="LQ-350"/>
    <s v="Original"/>
    <s v="N/A"/>
    <s v="N/A"/>
    <n v="115"/>
    <m/>
    <n v="0"/>
    <m/>
  </r>
  <r>
    <s v="CIM 1862"/>
    <s v="ULSSJOSE"/>
    <x v="5"/>
    <s v="Fita EPSON S015019 (LX300/300+/400/800/FX800)"/>
    <s v="EPSON"/>
    <s v="LX300/300+/400/800/FX800"/>
    <s v="Original"/>
    <s v="N/A"/>
    <s v="N/A"/>
    <n v="80"/>
    <m/>
    <n v="0"/>
    <m/>
  </r>
  <r>
    <s v="CIM 1863"/>
    <s v="ULSSJOSE"/>
    <x v="5"/>
    <s v="Fita IMP EPSON LQ 870 ( S015021 )"/>
    <s v="EPSON"/>
    <s v="LQ 870"/>
    <s v="Original"/>
    <s v="N/A"/>
    <s v="N/A"/>
    <n v="5"/>
    <m/>
    <n v="0"/>
    <m/>
  </r>
  <r>
    <s v="CIM 1864"/>
    <s v="ULSSJOSE"/>
    <x v="5"/>
    <s v="Fita P/Impressora EPSON LX-350"/>
    <s v="EPSON"/>
    <s v="LX-350"/>
    <s v="Original"/>
    <s v="N/A"/>
    <s v="N/A"/>
    <n v="68"/>
    <m/>
    <n v="0"/>
    <m/>
  </r>
  <r>
    <s v="CIM 1865"/>
    <s v="ULSSJOSE"/>
    <x v="5"/>
    <s v="Tinteiro de Manutencao EPSON PJMB100"/>
    <s v="EPSON"/>
    <s v="PJMB100"/>
    <s v="Original"/>
    <s v="N/A"/>
    <s v="N/A"/>
    <n v="4"/>
    <m/>
    <n v="0"/>
    <m/>
  </r>
  <r>
    <s v="CIM1004"/>
    <s v="IPOC"/>
    <x v="5"/>
    <s v="Cartucho manutenção p/ imp epson pp-100/pp-50"/>
    <s v="EPSON"/>
    <s v="IMP EPSON PP-100/PP-50"/>
    <s v="Original"/>
    <n v="30000"/>
    <s v="Sim"/>
    <n v="1"/>
    <m/>
    <n v="0"/>
    <m/>
  </r>
  <r>
    <s v="CIM1078"/>
    <s v="IPOC"/>
    <x v="5"/>
    <s v="Tinteiro epson t16xl cyan"/>
    <s v="EPSON"/>
    <s v="IMP.EPSON T16XL "/>
    <s v="Original"/>
    <n v="450"/>
    <s v="Sim"/>
    <n v="1"/>
    <m/>
    <n v="0"/>
    <m/>
  </r>
  <r>
    <s v="CIM1075"/>
    <s v="IPOC"/>
    <x v="5"/>
    <s v="Tinteiro epson t16xl magenta "/>
    <s v="EPSON"/>
    <s v="IMP. EPSON T16XL "/>
    <s v="Original"/>
    <n v="450"/>
    <s v="Sim"/>
    <n v="2"/>
    <m/>
    <n v="0"/>
    <m/>
  </r>
  <r>
    <s v="CIM1077"/>
    <s v="IPOC"/>
    <x v="5"/>
    <s v="Tinteiro epson t16xl preto"/>
    <s v="EPSON"/>
    <s v="IMP. EPSON T16XL "/>
    <s v="Original"/>
    <n v="500"/>
    <s v="Sim"/>
    <n v="2"/>
    <m/>
    <n v="0"/>
    <m/>
  </r>
  <r>
    <s v="CIM1076"/>
    <s v="IPOC"/>
    <x v="5"/>
    <s v="Tinteiro epson t16xl yellow "/>
    <s v="EPSON"/>
    <s v="IMP. EPSON T16XL "/>
    <s v="Original"/>
    <n v="450"/>
    <s v="Sim"/>
    <n v="2"/>
    <m/>
    <n v="0"/>
    <m/>
  </r>
  <r>
    <s v="CIM1070"/>
    <s v="IPOC"/>
    <x v="5"/>
    <s v="Tinteiro p/ imp epson xp 29xl cyan"/>
    <s v="EPSON"/>
    <s v="IMP EPSON XP 29XL"/>
    <s v="Original"/>
    <n v="450"/>
    <s v="Sim"/>
    <n v="3"/>
    <m/>
    <n v="0"/>
    <m/>
  </r>
  <r>
    <s v="CIM1071"/>
    <s v="IPOC"/>
    <x v="5"/>
    <s v="Tinteiro p/ imp epson xp 29xl magenta"/>
    <s v="EPSON"/>
    <s v="IMP EPSON XP 29XL"/>
    <s v="Original"/>
    <n v="450"/>
    <s v="Sim"/>
    <n v="3"/>
    <m/>
    <n v="0"/>
    <m/>
  </r>
  <r>
    <s v="CIM1073"/>
    <s v="IPOC"/>
    <x v="5"/>
    <s v="Tinteiro p/ imp epson xp 29xl preto"/>
    <s v="EPSON"/>
    <s v="IMP EPSON XP 29XL"/>
    <s v="Original"/>
    <n v="450"/>
    <s v="Sim"/>
    <n v="2"/>
    <m/>
    <n v="0"/>
    <m/>
  </r>
  <r>
    <s v="CIM1072"/>
    <s v="IPOC"/>
    <x v="5"/>
    <s v="Tinteiro p/ imp epson xp 29xl yellow"/>
    <s v="EPSON"/>
    <s v="IMP EPSON XP 29XL"/>
    <s v="Original"/>
    <n v="450"/>
    <s v="Sim"/>
    <n v="2"/>
    <m/>
    <n v="0"/>
    <m/>
  </r>
  <r>
    <s v="CIM1068"/>
    <s v="IPOC"/>
    <x v="5"/>
    <s v="Tinteiro p/imp epson pp-100/pp-50 amarelo"/>
    <s v="EPSON"/>
    <s v="IMP EPSON PP-100/PP-50 "/>
    <s v="Original"/>
    <n v="400"/>
    <s v="Sim"/>
    <n v="4"/>
    <m/>
    <n v="0"/>
    <m/>
  </r>
  <r>
    <s v="CIM1005"/>
    <s v="IPOC"/>
    <x v="5"/>
    <s v="Tinteiro p/imp epson pp-100/pp-50 cyan"/>
    <s v="EPSON"/>
    <s v="IMP EPSON PP-100/PP-50 "/>
    <s v="Original"/>
    <n v="400"/>
    <s v="Sim"/>
    <n v="4"/>
    <m/>
    <n v="0"/>
    <m/>
  </r>
  <r>
    <s v="CIM1006"/>
    <s v="IPOC"/>
    <x v="5"/>
    <s v="Tinteiro p/imp epson pp-100/pp-50 cyan claro"/>
    <s v="EPSON"/>
    <s v="IMP EPSON PP-100/PP-50 "/>
    <s v="Original"/>
    <n v="400"/>
    <s v="Sim"/>
    <n v="4"/>
    <m/>
    <n v="0"/>
    <m/>
  </r>
  <r>
    <s v="CIM1007"/>
    <s v="IPOC"/>
    <x v="5"/>
    <s v="Tinteiro p/imp epson pp-100/pp-50 magenta"/>
    <s v="EPSON"/>
    <s v="IMP EPSON PP-100/PP-50 "/>
    <s v="Original"/>
    <n v="400"/>
    <s v="Sim"/>
    <n v="4"/>
    <m/>
    <n v="0"/>
    <m/>
  </r>
  <r>
    <s v="CIM1069"/>
    <s v="IPOC"/>
    <x v="5"/>
    <s v="Tinteiro p/imp epson pp-100/pp-50 magenta claro"/>
    <s v="EPSON"/>
    <s v="IMP EPSON PP-100/PP-50 "/>
    <s v="Original"/>
    <n v="400"/>
    <s v="Sim"/>
    <n v="4"/>
    <m/>
    <n v="0"/>
    <m/>
  </r>
  <r>
    <s v="CIM1067"/>
    <s v="IPOC"/>
    <x v="5"/>
    <s v="Tinteiro p/imp epson pp-100/pp-50 preto"/>
    <s v="EPSON"/>
    <s v="IMP EPSON PP-100/PP-50 "/>
    <s v="Original"/>
    <n v="400"/>
    <s v="Sim"/>
    <n v="4"/>
    <m/>
    <n v="0"/>
    <m/>
  </r>
  <r>
    <s v="CIM1279"/>
    <s v="ULSAA"/>
    <x v="5"/>
    <s v="Fita cas.epson erc-09 b/esterilização"/>
    <s v="EPSON"/>
    <s v="00/74320448"/>
    <s v="Original"/>
    <m/>
    <s v="Não"/>
    <n v="170"/>
    <m/>
    <n v="0"/>
    <m/>
  </r>
  <r>
    <s v="CIM1287"/>
    <s v="ULSAA"/>
    <x v="5"/>
    <s v="Fita epson lq 590 - so 15337"/>
    <s v="EPSON"/>
    <s v="SO 15337"/>
    <s v="Original"/>
    <m/>
    <s v="Não"/>
    <n v="4"/>
    <m/>
    <n v="0"/>
    <m/>
  </r>
  <r>
    <s v="CIM1298"/>
    <s v="ULSAA"/>
    <x v="5"/>
    <s v="Tinteiro epson discproducer, amarelo (moq=10) (c13s020451)"/>
    <s v="EPSON"/>
    <s v="PP100 II"/>
    <s v="Original"/>
    <s v="26 ml"/>
    <s v="Não"/>
    <n v="6"/>
    <m/>
    <n v="0"/>
    <m/>
  </r>
  <r>
    <s v="CIM1299"/>
    <s v="ULSAA"/>
    <x v="5"/>
    <s v="Tinteiro epson discproducer, cyan (moq=10) (c13s020447)"/>
    <s v="EPSON"/>
    <s v="PP100 II"/>
    <s v="Original"/>
    <s v="26 ml"/>
    <s v="Não"/>
    <n v="6"/>
    <m/>
    <n v="0"/>
    <m/>
  </r>
  <r>
    <s v="CIM1300"/>
    <s v="ULSAA"/>
    <x v="5"/>
    <s v="Tinteiro epson discproducer, magenta (moq=10) (c13s020450)"/>
    <s v="EPSON"/>
    <s v="PP100 II"/>
    <s v="Original"/>
    <s v="26 ml"/>
    <s v="Não"/>
    <n v="8"/>
    <m/>
    <n v="0"/>
    <m/>
  </r>
  <r>
    <s v="CIM1301"/>
    <s v="ULSAA"/>
    <x v="5"/>
    <s v="Tinteiro epson discproducer, preto (moq=10) (c13s020452)"/>
    <s v="EPSON"/>
    <s v="PP100 II"/>
    <s v="Original"/>
    <s v="26 ml"/>
    <s v="Não"/>
    <n v="7"/>
    <m/>
    <n v="0"/>
    <m/>
  </r>
  <r>
    <s v="CIM1303"/>
    <s v="ULSAA"/>
    <x v="5"/>
    <s v="Tinteiro epson discproducer, cyan claro (moq=10) (c13s020448)"/>
    <s v="EPSON"/>
    <s v="PP100 II"/>
    <s v="Original"/>
    <s v="26 ml "/>
    <s v="Não"/>
    <n v="6"/>
    <m/>
    <n v="0"/>
    <m/>
  </r>
  <r>
    <s v="CIM1302"/>
    <s v="ULSAA"/>
    <x v="5"/>
    <s v="Tinteiro epson discproducer, magenta claro (moq=10) (c13s020449)"/>
    <s v="EPSON"/>
    <s v="PP100 II"/>
    <s v="Original"/>
    <s v="26 ml"/>
    <s v="Não"/>
    <n v="6"/>
    <m/>
    <n v="0"/>
    <m/>
  </r>
  <r>
    <s v="CIM0949"/>
    <s v="ULSAC"/>
    <x v="5"/>
    <s v="Carga imp epson wf 2860 - 502 xl amarelo"/>
    <s v="EPSON"/>
    <s v="EPSON WF 2860"/>
    <s v="Original"/>
    <m/>
    <s v="Não"/>
    <n v="5"/>
    <m/>
    <n v="0"/>
    <m/>
  </r>
  <r>
    <s v="CIM0950"/>
    <s v="ULSAC"/>
    <x v="5"/>
    <s v="Carga imp epson wf 2860 - 502 xl azul"/>
    <s v="EPSON"/>
    <s v="EPSON WF 2860"/>
    <s v="Original"/>
    <m/>
    <s v="Não"/>
    <n v="5"/>
    <m/>
    <n v="0"/>
    <m/>
  </r>
  <r>
    <s v="CIM0951"/>
    <s v="ULSAC"/>
    <x v="5"/>
    <s v="Carga imp epson wf 2860 - 502 xl magenta"/>
    <s v="EPSON"/>
    <s v="EPSON WF 2860"/>
    <s v="Original"/>
    <m/>
    <s v="Não"/>
    <n v="1"/>
    <m/>
    <n v="0"/>
    <m/>
  </r>
  <r>
    <s v="CIM0952"/>
    <s v="ULSAC"/>
    <x v="5"/>
    <s v="Carga imp epson wf 2860 - 502 xl preto"/>
    <s v="EPSON"/>
    <s v=" EPSON WF 2860"/>
    <s v="Original"/>
    <m/>
    <s v="Não"/>
    <n v="1"/>
    <m/>
    <n v="0"/>
    <m/>
  </r>
  <r>
    <s v="CIM0948"/>
    <s v="ULSAC"/>
    <x v="5"/>
    <s v="Fita imp epson fx890 preto (c13s015329)"/>
    <s v="EPSON"/>
    <s v="EPSON FX 890"/>
    <s v="Original"/>
    <m/>
    <s v="Não"/>
    <n v="30"/>
    <m/>
    <n v="0"/>
    <m/>
  </r>
  <r>
    <s v="CIM1484"/>
    <s v="ULSAC"/>
    <x v="5"/>
    <s v="TINTEIRO EPSON ECOTANK 111 ET1180 PRETO                                         "/>
    <s v="EPSON"/>
    <s v="ECOTANK 111 ET1180 PRETO  "/>
    <s v="Original"/>
    <m/>
    <s v="Não"/>
    <n v="2"/>
    <m/>
    <n v="0"/>
    <m/>
  </r>
  <r>
    <s v="CIM1532"/>
    <s v="ULSAM "/>
    <x v="5"/>
    <s v="Fita Epson erc 28 nylon preto p/maquina selar               "/>
    <s v="EPSON"/>
    <s v="ERC28"/>
    <s v="Original"/>
    <m/>
    <m/>
    <n v="60"/>
    <m/>
    <n v="0"/>
    <m/>
  </r>
  <r>
    <s v="CIM1531"/>
    <s v="ULSAM "/>
    <x v="5"/>
    <s v="Fita Epson hx 20 erc 09 nylon violeta p/autoclave           "/>
    <s v="EPSON"/>
    <s v="HX 20"/>
    <s v="Original"/>
    <m/>
    <m/>
    <n v="30"/>
    <m/>
    <n v="0"/>
    <m/>
  </r>
  <r>
    <s v="CIM1366"/>
    <s v="ULSCBeira"/>
    <x v="5"/>
    <s v="Tinteiro epson pp-100 iii - amarelo (pjic5)"/>
    <s v="EPSON"/>
    <s v="Discproducer PP-100III"/>
    <s v="Original"/>
    <s v="Sim"/>
    <s v="Sim"/>
    <n v="3"/>
    <m/>
    <n v="0"/>
    <m/>
  </r>
  <r>
    <s v="CIM1367"/>
    <s v="ULSCBeira"/>
    <x v="5"/>
    <s v="Tinteiro epson pp-100 iii - ciano (pjic1)"/>
    <s v="EPSON"/>
    <s v="Discproducer PP-100III"/>
    <s v="Original"/>
    <s v="Sim"/>
    <s v="Sim"/>
    <n v="3"/>
    <m/>
    <n v="0"/>
    <m/>
  </r>
  <r>
    <s v="CIM1368"/>
    <s v="ULSCBeira"/>
    <x v="5"/>
    <s v="Tinteiro epson pp-100 iii - ciano claro (pjic2)"/>
    <s v="EPSON"/>
    <s v="Discproducer PP-100III"/>
    <s v="Original"/>
    <s v="Sim"/>
    <s v="Sim"/>
    <n v="3"/>
    <m/>
    <n v="0"/>
    <m/>
  </r>
  <r>
    <s v="CIM1369"/>
    <s v="ULSCBeira"/>
    <x v="5"/>
    <s v="Tinteiro epson pp-100 iii - magenta (pjic4)"/>
    <s v="EPSON"/>
    <s v="Discproducer PP-100III"/>
    <s v="Original"/>
    <s v="Sim"/>
    <s v="Sim"/>
    <n v="3"/>
    <m/>
    <n v="0"/>
    <m/>
  </r>
  <r>
    <s v="CIM1370"/>
    <s v="ULSCBeira"/>
    <x v="5"/>
    <s v="Tinteiro epson pp-100 iii - magenta claro (pjic3)"/>
    <s v="EPSON"/>
    <s v="Discproducer PP-100III"/>
    <s v="Original"/>
    <s v="Sim"/>
    <s v="Sim"/>
    <n v="3"/>
    <m/>
    <n v="0"/>
    <m/>
  </r>
  <r>
    <s v="CIM1371"/>
    <s v="ULSCBeira"/>
    <x v="5"/>
    <s v="Tinteiro epson pp-100 iii - preto (pjic6)"/>
    <s v="EPSON"/>
    <s v="Discproducer PP-100III"/>
    <s v="Original"/>
    <s v="Sim"/>
    <s v="Sim"/>
    <n v="3"/>
    <m/>
    <n v="0"/>
    <m/>
  </r>
  <r>
    <s v="CIM1275"/>
    <s v="ULSM"/>
    <x v="5"/>
    <s v="Tinteiro epson discproducer amarelo c13s020451"/>
    <s v="EPSON"/>
    <s v="S020451"/>
    <s v="Original"/>
    <s v="26 ml"/>
    <s v="Sim"/>
    <n v="2"/>
    <m/>
    <n v="0"/>
    <m/>
  </r>
  <r>
    <s v="CIM1261"/>
    <s v="ULSM"/>
    <x v="5"/>
    <s v="Tinteiro epson discproducer azul c13s020447"/>
    <s v="EPSON"/>
    <s v="S020447"/>
    <s v="Original"/>
    <s v="26 ml"/>
    <s v="Sim"/>
    <n v="3"/>
    <m/>
    <n v="0"/>
    <m/>
  </r>
  <r>
    <s v="CIM1262"/>
    <s v="ULSM"/>
    <x v="5"/>
    <s v="Tinteiro epson discproducer azul claro c13s020448"/>
    <s v="EPSON"/>
    <s v="S020448"/>
    <s v="Original"/>
    <s v="26 ml"/>
    <s v="Sim"/>
    <n v="4"/>
    <m/>
    <n v="0"/>
    <m/>
  </r>
  <r>
    <s v="CIM1274"/>
    <s v="ULSM"/>
    <x v="5"/>
    <s v="Tinteiro epson discproducer magenta c13s020450"/>
    <s v="EPSON"/>
    <s v="S020450"/>
    <s v="Original"/>
    <s v="26 ml"/>
    <s v="Sim"/>
    <n v="3"/>
    <m/>
    <n v="0"/>
    <m/>
  </r>
  <r>
    <s v="CIM1273"/>
    <s v="ULSM"/>
    <x v="5"/>
    <s v="Tinteiro epson discproducer magenta claro c13s020449"/>
    <s v="EPSON"/>
    <s v="S020449"/>
    <s v="Original"/>
    <s v="26 ml"/>
    <s v="Sim"/>
    <n v="3"/>
    <m/>
    <n v="0"/>
    <m/>
  </r>
  <r>
    <s v="CIM1276"/>
    <s v="ULSM"/>
    <x v="5"/>
    <s v="Tinteiro epson discproducer preto c13s020452"/>
    <s v="EPSON"/>
    <s v="S020452"/>
    <s v="Original"/>
    <s v="26 ml"/>
    <s v="Sim"/>
    <n v="2"/>
    <m/>
    <n v="0"/>
    <m/>
  </r>
  <r>
    <s v="CIM1260"/>
    <s v="ULSM"/>
    <x v="5"/>
    <s v="Tinteiro manutenção epson pjmb100 discproducer c13s020476"/>
    <s v="EPSON"/>
    <s v="S020476"/>
    <s v="Original"/>
    <s v="90 000 pág."/>
    <s v="Sim"/>
    <n v="1"/>
    <m/>
    <n v="0"/>
    <m/>
  </r>
  <r>
    <s v="CIM1425"/>
    <s v="ULSO"/>
    <x v="5"/>
    <s v="Caixa de resíduos"/>
    <s v="EPSON"/>
    <s v="WF-6590DW"/>
    <s v="Original"/>
    <m/>
    <m/>
    <n v="5"/>
    <m/>
    <n v="0"/>
    <m/>
  </r>
  <r>
    <s v="CIM0817"/>
    <s v="ULSO"/>
    <x v="5"/>
    <s v="Fotocondutor epson al m300ii"/>
    <s v="EPSON"/>
    <s v="AL M300II"/>
    <s v="Original"/>
    <m/>
    <s v="Não"/>
    <n v="10"/>
    <m/>
    <n v="0"/>
    <m/>
  </r>
  <r>
    <s v="CIM0819"/>
    <s v="ULSO"/>
    <x v="5"/>
    <s v="Fusor epson  al m300ii"/>
    <s v="EPSON"/>
    <s v="AL M300II"/>
    <s v="Original"/>
    <m/>
    <s v="Não"/>
    <n v="2"/>
    <m/>
    <n v="0"/>
    <m/>
  </r>
  <r>
    <s v="CIM1426"/>
    <s v="ULSO"/>
    <x v="5"/>
    <s v="Garrafa de resíduos"/>
    <s v="EPSON"/>
    <s v="PP-100II"/>
    <s v="Original"/>
    <m/>
    <m/>
    <n v="2"/>
    <m/>
    <n v="0"/>
    <m/>
  </r>
  <r>
    <s v="CIM1428"/>
    <s v="ULSO"/>
    <x v="5"/>
    <s v="Tinteiro amarelo"/>
    <s v="EPSON"/>
    <s v="PP-100II"/>
    <s v="Original"/>
    <m/>
    <m/>
    <n v="5"/>
    <m/>
    <n v="0"/>
    <m/>
  </r>
  <r>
    <s v="CIM1429"/>
    <s v="ULSO"/>
    <x v="5"/>
    <s v="Tinteiro cyan"/>
    <s v="EPSON"/>
    <s v="PP-100II"/>
    <s v="Original"/>
    <m/>
    <m/>
    <n v="5"/>
    <m/>
    <n v="0"/>
    <m/>
  </r>
  <r>
    <s v="CIM1433"/>
    <s v="ULSO"/>
    <x v="5"/>
    <s v="Tinteiro cyan"/>
    <s v="EPSON"/>
    <s v="WF-6590DW"/>
    <s v="Original"/>
    <m/>
    <m/>
    <n v="17"/>
    <m/>
    <n v="0"/>
    <m/>
  </r>
  <r>
    <s v="CIM1430"/>
    <s v="ULSO"/>
    <x v="5"/>
    <s v="Tinteiro cyan claro"/>
    <s v="EPSON"/>
    <s v="PP-100II"/>
    <s v="Original"/>
    <m/>
    <m/>
    <n v="5"/>
    <m/>
    <n v="0"/>
    <m/>
  </r>
  <r>
    <s v="CIM1431"/>
    <s v="ULSO"/>
    <x v="5"/>
    <s v="Tinteiro magenta"/>
    <s v="EPSON"/>
    <s v="PP-100II"/>
    <s v="Original"/>
    <m/>
    <m/>
    <n v="5"/>
    <m/>
    <n v="0"/>
    <m/>
  </r>
  <r>
    <s v="CIM1432"/>
    <s v="ULSO"/>
    <x v="5"/>
    <s v="Tinteiro magenta claro"/>
    <s v="EPSON"/>
    <s v="PP-100II"/>
    <s v="Original"/>
    <m/>
    <m/>
    <n v="5"/>
    <m/>
    <n v="0"/>
    <m/>
  </r>
  <r>
    <s v="CIM1427"/>
    <s v="ULSO"/>
    <x v="5"/>
    <s v="Tinteiro preto"/>
    <s v="EPSON"/>
    <s v="PP-100II"/>
    <s v="Original"/>
    <m/>
    <m/>
    <n v="10"/>
    <m/>
    <n v="0"/>
    <m/>
  </r>
  <r>
    <s v="CIM0818"/>
    <s v="ULSO"/>
    <x v="5"/>
    <s v="Tinteiro preto epson al m300ii"/>
    <s v="EPSON"/>
    <s v="AL M300II"/>
    <s v="Original"/>
    <m/>
    <s v="Não"/>
    <n v="43"/>
    <m/>
    <n v="0"/>
    <m/>
  </r>
  <r>
    <s v="CIM0816"/>
    <s v="ULSO"/>
    <x v="5"/>
    <s v="Tinteiro preto epson wf 6590 dwf"/>
    <s v="EPSON"/>
    <s v="WF 6590 DWF"/>
    <s v="Original"/>
    <m/>
    <s v="Não"/>
    <n v="34"/>
    <m/>
    <n v="0"/>
    <m/>
  </r>
  <r>
    <s v="CIM0500"/>
    <s v="ULSSJOSE"/>
    <x v="5"/>
    <s v="Tinteiro epson pp-100 iii - amarelo (pjic5)"/>
    <s v="EPSON"/>
    <s v="Discproducer PP-100III"/>
    <s v="Original"/>
    <s v="N/A"/>
    <s v="Sim"/>
    <n v="6"/>
    <m/>
    <n v="0"/>
    <m/>
  </r>
  <r>
    <s v="CIM0501"/>
    <s v="ULSSJOSE"/>
    <x v="5"/>
    <s v="Tinteiro epson pp-100 iii - ciano (pjic1)"/>
    <s v="EPSON"/>
    <s v="Discproducer PP-100III"/>
    <s v="Original"/>
    <s v="N/A"/>
    <s v="Sim"/>
    <n v="4"/>
    <m/>
    <n v="0"/>
    <m/>
  </r>
  <r>
    <s v="CIM0502"/>
    <s v="ULSSJOSE"/>
    <x v="5"/>
    <s v="Tinteiro epson pp-100 iii - ciano claro (pjic2)"/>
    <s v="EPSON"/>
    <s v="Discproducer PP-100III"/>
    <s v="Original"/>
    <s v="N/A"/>
    <s v="Sim"/>
    <n v="11"/>
    <m/>
    <n v="0"/>
    <m/>
  </r>
  <r>
    <s v="CIM0503"/>
    <s v="ULSSJOSE"/>
    <x v="5"/>
    <s v="Tinteiro epson pp-100 iii - magenta (pjic4)"/>
    <s v="EPSON"/>
    <s v="Discproducer PP-100III"/>
    <s v="Original"/>
    <s v="N/A"/>
    <s v="Sim"/>
    <n v="10"/>
    <m/>
    <n v="0"/>
    <m/>
  </r>
  <r>
    <s v="CIM0504"/>
    <s v="ULSSJOSE"/>
    <x v="5"/>
    <s v="Tinteiro epson pp-100 iii - magenta claro (pjic3)"/>
    <s v="EPSON"/>
    <s v="Discproducer PP-100III"/>
    <s v="Original"/>
    <s v="N/A"/>
    <s v="Sim"/>
    <n v="8"/>
    <m/>
    <n v="0"/>
    <m/>
  </r>
  <r>
    <s v="CIM0505"/>
    <s v="ULSSJOSE"/>
    <x v="5"/>
    <s v="Tinteiro epson pp-100 iii - preto (pjic6)"/>
    <s v="EPSON"/>
    <s v="Discproducer PP-100III"/>
    <s v="Original"/>
    <s v="N/A"/>
    <s v="Sim"/>
    <n v="4"/>
    <m/>
    <n v="0"/>
    <m/>
  </r>
  <r>
    <s v="CIM 1844"/>
    <s v="ULSRA"/>
    <x v="6"/>
    <s v="Toner epson al-mx300/al-m300dn - Preto"/>
    <s v="EPSON"/>
    <s v="AL-MX300/AL-M300DN"/>
    <s v="Reciclado"/>
    <n v="6100"/>
    <s v="Não"/>
    <n v="750"/>
    <m/>
    <n v="0"/>
    <m/>
  </r>
  <r>
    <s v="CIM 1845"/>
    <s v="ULSRA"/>
    <x v="6"/>
    <s v="Toner epson workforce al-m200dn"/>
    <s v="EPSON"/>
    <s v="AL-M200DN"/>
    <s v="Reciclado"/>
    <n v="2500"/>
    <s v="Não"/>
    <n v="125"/>
    <m/>
    <n v="0"/>
    <m/>
  </r>
  <r>
    <s v="CIM 1846"/>
    <s v="ULSRA"/>
    <x v="6"/>
    <s v="Unidade Fotocondutora epson al-mx300 - Preto"/>
    <s v="EPSON"/>
    <s v="AL-MX300"/>
    <s v="Reciclado"/>
    <n v="70000"/>
    <s v="Não"/>
    <n v="150"/>
    <m/>
    <n v="0"/>
    <m/>
  </r>
  <r>
    <s v="CIM0257"/>
    <s v="ULSCBeira"/>
    <x v="6"/>
    <s v="Toner amarelo ref. C13s051158 epson"/>
    <s v="EPSON"/>
    <s v="ACULASER C2800 "/>
    <s v="Reciclado"/>
    <m/>
    <s v="Sim"/>
    <n v="1"/>
    <m/>
    <n v="0"/>
    <m/>
  </r>
  <r>
    <s v="CIM0256"/>
    <s v="ULSCBeira"/>
    <x v="6"/>
    <s v="Toner azul ref. C13s051160 epson"/>
    <s v="EPSON"/>
    <s v="ACULASER C2800 "/>
    <s v="Reciclado"/>
    <m/>
    <s v="Sim"/>
    <n v="1"/>
    <m/>
    <n v="0"/>
    <m/>
  </r>
  <r>
    <s v="CIM0258"/>
    <s v="ULSCBeira"/>
    <x v="6"/>
    <s v="Toner magenta ref. C13s051159"/>
    <s v="EPSON"/>
    <s v="ACULASER C2800 "/>
    <s v="Reciclado"/>
    <m/>
    <s v="Sim"/>
    <n v="1"/>
    <m/>
    <n v="0"/>
    <m/>
  </r>
  <r>
    <s v="CIM0259"/>
    <s v="ULSCBeira"/>
    <x v="6"/>
    <s v="Toner preto ref. C13s051161"/>
    <s v="EPSON"/>
    <s v="ACULASER C2800 "/>
    <s v="Reciclado"/>
    <m/>
    <s v="Sim"/>
    <n v="1"/>
    <m/>
    <n v="0"/>
    <m/>
  </r>
  <r>
    <s v="CIM 1620"/>
    <s v="ULSAC"/>
    <x v="7"/>
    <s v="Carga IMP HP deSKJET 2620 Preto                                                 "/>
    <s v="HP"/>
    <s v="deSKJET 2620 COR     "/>
    <s v="Original"/>
    <m/>
    <s v="Não"/>
    <n v="5"/>
    <m/>
    <n v="0"/>
    <m/>
  </r>
  <r>
    <s v="CIM 1631"/>
    <s v="ULSAS"/>
    <x v="7"/>
    <s v="HP PRO MFP HT-CE255X(P)"/>
    <s v="HP"/>
    <s v="HP PRO MFP"/>
    <s v="Original"/>
    <m/>
    <s v="Sim"/>
    <n v="20"/>
    <m/>
    <n v="0"/>
    <m/>
  </r>
  <r>
    <s v="CIM 1642"/>
    <s v="ULSASI"/>
    <x v="7"/>
    <s v="TINTEIRO HP 2822E - 305 MULTICOLOR"/>
    <s v="HP"/>
    <s v="N/A"/>
    <s v="Original"/>
    <m/>
    <m/>
    <n v="2"/>
    <m/>
    <n v="0"/>
    <m/>
  </r>
  <r>
    <s v="CIM 1643"/>
    <s v="ULSASI"/>
    <x v="7"/>
    <s v="TINTEIRO HP 2822E - 305 PRETO"/>
    <s v="HP"/>
    <s v="N/A"/>
    <s v="Original"/>
    <m/>
    <m/>
    <n v="2"/>
    <m/>
    <n v="0"/>
    <m/>
  </r>
  <r>
    <s v="CIM 1644"/>
    <s v="ULSASI"/>
    <x v="7"/>
    <s v="TINTEIRO HP 302XL PRETO"/>
    <s v="HP"/>
    <s v="N/A"/>
    <s v="Original"/>
    <m/>
    <m/>
    <n v="9"/>
    <m/>
    <n v="0"/>
    <m/>
  </r>
  <r>
    <s v="CIM 1645"/>
    <s v="ULSASI"/>
    <x v="7"/>
    <s v="TINTEIRO HP 953 XL AZUL"/>
    <s v="HP"/>
    <s v="N/A"/>
    <s v="Original"/>
    <m/>
    <m/>
    <n v="2"/>
    <m/>
    <n v="0"/>
    <m/>
  </r>
  <r>
    <s v="CIM 1646"/>
    <s v="ULSASI"/>
    <x v="7"/>
    <s v="TINTEIRO HP 953XL Preto"/>
    <s v="HP"/>
    <s v="N/A"/>
    <s v="Original"/>
    <m/>
    <m/>
    <n v="6"/>
    <m/>
    <n v="0"/>
    <m/>
  </r>
  <r>
    <s v="CIM 1647"/>
    <s v="ULSASI"/>
    <x v="7"/>
    <s v="TINTEIRO HP AMARELO 953XL"/>
    <s v="HP"/>
    <s v="N/A"/>
    <s v="Original"/>
    <m/>
    <m/>
    <n v="2"/>
    <m/>
    <n v="0"/>
    <m/>
  </r>
  <r>
    <s v="CIM 1648"/>
    <s v="ULSASI"/>
    <x v="7"/>
    <s v="TINTEIRO HP MAGENTA 953XL"/>
    <s v="HP"/>
    <s v="N/A"/>
    <s v="Original"/>
    <m/>
    <m/>
    <n v="2"/>
    <m/>
    <n v="0"/>
    <m/>
  </r>
  <r>
    <s v="CIM 1649"/>
    <s v="ULSASI"/>
    <x v="7"/>
    <s v="TINTEIRO HP302XL CORES"/>
    <s v="HP"/>
    <s v="N/A"/>
    <s v="Original"/>
    <m/>
    <m/>
    <n v="9"/>
    <m/>
    <n v="0"/>
    <m/>
  </r>
  <r>
    <s v="CIM 1650"/>
    <s v="ULSASI"/>
    <x v="7"/>
    <s v="TONER COMPATIVEL HP PRO M255DW AMARELO"/>
    <s v="HP"/>
    <s v="N/A"/>
    <s v="Original"/>
    <m/>
    <m/>
    <n v="2"/>
    <m/>
    <n v="0"/>
    <m/>
  </r>
  <r>
    <s v="CIM 1651"/>
    <s v="ULSASI"/>
    <x v="7"/>
    <s v="TONER COMPATIVEL HP PRO M255DW AZUL"/>
    <s v="HP"/>
    <s v="N/A"/>
    <s v="Original"/>
    <m/>
    <m/>
    <n v="2"/>
    <m/>
    <n v="0"/>
    <m/>
  </r>
  <r>
    <s v="CIM 1652"/>
    <s v="ULSASI"/>
    <x v="7"/>
    <s v="TONER COMPATIVEL HP PRO M255DW MAGENTA"/>
    <s v="HP"/>
    <s v="N/A"/>
    <s v="Original"/>
    <m/>
    <m/>
    <n v="2"/>
    <m/>
    <n v="0"/>
    <m/>
  </r>
  <r>
    <s v="CIM 1653"/>
    <s v="ULSASI"/>
    <x v="7"/>
    <s v="TONER COMPATIVEL HP PRO M255DW PRETO"/>
    <s v="HP"/>
    <s v="N/A"/>
    <s v="Original"/>
    <m/>
    <m/>
    <n v="2"/>
    <m/>
    <n v="0"/>
    <m/>
  </r>
  <r>
    <s v="CIM 1654"/>
    <s v="ULSASI"/>
    <x v="7"/>
    <s v="TONER HP 26A"/>
    <s v="HP"/>
    <s v="N/A"/>
    <s v="Original"/>
    <m/>
    <m/>
    <n v="495"/>
    <m/>
    <n v="0"/>
    <m/>
  </r>
  <r>
    <s v="CIM 1655"/>
    <s v="ULSASI"/>
    <x v="7"/>
    <s v="TONER HP 30A PRETO"/>
    <s v="HP"/>
    <s v="N/A"/>
    <s v="Original"/>
    <m/>
    <m/>
    <n v="162"/>
    <m/>
    <n v="0"/>
    <m/>
  </r>
  <r>
    <s v="CIM 1656"/>
    <s v="ULSASI"/>
    <x v="7"/>
    <s v="TONER HP 30X PRETO"/>
    <s v="HP"/>
    <s v="N/A"/>
    <s v="Original"/>
    <m/>
    <m/>
    <n v="157"/>
    <m/>
    <n v="0"/>
    <m/>
  </r>
  <r>
    <s v="CIM 1657"/>
    <s v="ULSASI"/>
    <x v="7"/>
    <s v="TONER HP 37A"/>
    <s v="HP"/>
    <s v="N/A"/>
    <s v="Original"/>
    <m/>
    <m/>
    <n v="35"/>
    <m/>
    <n v="0"/>
    <m/>
  </r>
  <r>
    <s v="CIM 1658"/>
    <s v="ULSASI"/>
    <x v="7"/>
    <s v="TONER HP 78A  HP1606DN"/>
    <s v="HP"/>
    <s v="N/A"/>
    <s v="Original"/>
    <m/>
    <m/>
    <n v="500"/>
    <m/>
    <n v="0"/>
    <m/>
  </r>
  <r>
    <s v="CIM 1659"/>
    <s v="ULSASI"/>
    <x v="7"/>
    <s v="TONER HP 83X"/>
    <s v="HP"/>
    <s v="N/A"/>
    <s v="Original"/>
    <m/>
    <m/>
    <n v="400"/>
    <m/>
    <n v="0"/>
    <m/>
  </r>
  <r>
    <s v="CIM 1660"/>
    <s v="ULSASI"/>
    <x v="7"/>
    <s v="TONER HP CE255X PRETO"/>
    <s v="HP"/>
    <s v="N/A"/>
    <s v="Original"/>
    <m/>
    <m/>
    <n v="2"/>
    <m/>
    <n v="0"/>
    <m/>
  </r>
  <r>
    <s v="CIM 1661"/>
    <s v="ULSASI"/>
    <x v="7"/>
    <s v="TONER HP CE255X PRETO"/>
    <s v="HP"/>
    <s v="N/A"/>
    <s v="Original"/>
    <m/>
    <m/>
    <n v="3"/>
    <m/>
    <n v="0"/>
    <m/>
  </r>
  <r>
    <s v="CIM 1662"/>
    <s v="ULSASI"/>
    <x v="7"/>
    <s v="TONER HP CE285A/ 35A"/>
    <s v="HP"/>
    <s v="N/A"/>
    <s v="Original"/>
    <m/>
    <m/>
    <n v="828"/>
    <m/>
    <n v="0"/>
    <m/>
  </r>
  <r>
    <s v="CIM 1663"/>
    <s v="ULSASI"/>
    <x v="7"/>
    <s v="TONER HP LASERJET ALTA CAPACIDADE (59X)"/>
    <s v="HP"/>
    <s v="N/A"/>
    <s v="Original"/>
    <m/>
    <m/>
    <n v="265"/>
    <m/>
    <n v="0"/>
    <m/>
  </r>
  <r>
    <s v="CIM 1664"/>
    <s v="ULSASI"/>
    <x v="7"/>
    <s v="TONER HP LASERJET PRETO Q2612A"/>
    <s v="HP"/>
    <s v="N/A"/>
    <s v="Original"/>
    <m/>
    <m/>
    <n v="448"/>
    <m/>
    <n v="0"/>
    <m/>
  </r>
  <r>
    <s v="CIM 1665"/>
    <s v="ULSASI"/>
    <x v="7"/>
    <s v="TONER HP LASERJET PRETO Q2612X"/>
    <s v="HP"/>
    <s v="N/A"/>
    <s v="Original"/>
    <m/>
    <m/>
    <n v="40"/>
    <m/>
    <n v="0"/>
    <m/>
  </r>
  <r>
    <s v="CIM 1670"/>
    <s v="ULSASI"/>
    <x v="7"/>
    <s v="TONER HP PRETO Q5949A 49A"/>
    <s v="HP"/>
    <s v="N/A"/>
    <s v="Original"/>
    <m/>
    <m/>
    <n v="40"/>
    <m/>
    <n v="0"/>
    <m/>
  </r>
  <r>
    <s v="CIM 1671"/>
    <s v="ULSASI"/>
    <x v="7"/>
    <s v="TONER HP PRO MFP M127 - PRETO 83A"/>
    <s v="HP"/>
    <s v="N/A"/>
    <s v="Original"/>
    <m/>
    <m/>
    <n v="300"/>
    <m/>
    <n v="0"/>
    <m/>
  </r>
  <r>
    <s v="CIM 1672"/>
    <s v="ULSASI"/>
    <x v="7"/>
    <s v="TONER HP Q7553A"/>
    <s v="HP"/>
    <s v="N/A"/>
    <s v="Original"/>
    <m/>
    <m/>
    <n v="53"/>
    <m/>
    <n v="0"/>
    <m/>
  </r>
  <r>
    <s v="CIM 1673"/>
    <s v="ULSASI"/>
    <x v="7"/>
    <s v="TONER HP Q7553X"/>
    <s v="HP"/>
    <s v="N/A"/>
    <s v="Original"/>
    <m/>
    <m/>
    <n v="33"/>
    <m/>
    <n v="0"/>
    <m/>
  </r>
  <r>
    <s v="CIM 1674"/>
    <s v="ULSASI"/>
    <x v="7"/>
    <s v="TONER HPLASER PRO M251/M276-210XPRETO"/>
    <s v="HP"/>
    <s v="N/A"/>
    <s v="Original"/>
    <m/>
    <m/>
    <n v="8"/>
    <m/>
    <n v="0"/>
    <m/>
  </r>
  <r>
    <s v="CIM 1675"/>
    <s v="ULSASI"/>
    <x v="7"/>
    <s v="TONER HPLASER PRO M251/M276-211A CYAN"/>
    <s v="HP"/>
    <s v="N/A"/>
    <s v="Original"/>
    <m/>
    <m/>
    <n v="5"/>
    <m/>
    <n v="0"/>
    <m/>
  </r>
  <r>
    <s v="CIM 1676"/>
    <s v="ULSASI"/>
    <x v="7"/>
    <s v="TONER HPLASER PRO M251/M276-212A AMARELO"/>
    <s v="HP"/>
    <s v="N/A"/>
    <s v="Original"/>
    <m/>
    <m/>
    <n v="6"/>
    <m/>
    <n v="0"/>
    <m/>
  </r>
  <r>
    <s v="CIM 1677"/>
    <s v="ULSASI"/>
    <x v="7"/>
    <s v="TONER HPLASER PRO M251/M276-213A MAGENTA"/>
    <s v="HP"/>
    <s v="N/A"/>
    <s v="Original"/>
    <m/>
    <m/>
    <n v="21"/>
    <m/>
    <n v="0"/>
    <m/>
  </r>
  <r>
    <s v="CIM 1678"/>
    <s v="ULSASI"/>
    <x v="7"/>
    <s v="TONER TAMBOR HP 32A"/>
    <s v="HP"/>
    <s v="N/A"/>
    <s v="Original"/>
    <m/>
    <m/>
    <n v="65"/>
    <m/>
    <n v="0"/>
    <m/>
  </r>
  <r>
    <s v="CIM 1707"/>
    <s v="ULSETEJO"/>
    <x v="7"/>
    <s v="Drum HP Laser 32A Preto Pro M203/M220/M227 23.000P"/>
    <s v="HP"/>
    <s v="Laser 32A Preto Pro M203/M220/M227 23.000P"/>
    <s v="Original"/>
    <m/>
    <s v="Não"/>
    <n v="1"/>
    <m/>
    <n v="0"/>
    <m/>
  </r>
  <r>
    <s v="CIM 1708"/>
    <s v="ULSETEJO"/>
    <x v="7"/>
    <s v="Toner Goodsprint HP Laserjet M552/553 508x Amarelo 7850p"/>
    <s v="HP"/>
    <s v="Laserjet M552/553 508x Amarelo 7850p"/>
    <s v="Original"/>
    <m/>
    <s v="Não"/>
    <n v="1"/>
    <m/>
    <n v="0"/>
    <m/>
  </r>
  <r>
    <s v="CIM 1709"/>
    <s v="ULSETEJO"/>
    <x v="7"/>
    <s v="Toner Goodsprint HP Laserjet M552/553 508x Magenta 7850p"/>
    <s v="HP"/>
    <s v="Laserjet M552/553 508x Magenta 7850p"/>
    <s v="Original"/>
    <m/>
    <s v="Não"/>
    <n v="1"/>
    <m/>
    <n v="0"/>
    <m/>
  </r>
  <r>
    <s v="CIM 1710"/>
    <s v="ULSETEJO"/>
    <x v="7"/>
    <s v="Toner HP 59A PRO M304/M404 Preto"/>
    <s v="HP"/>
    <s v="Toner HP 59A PRO M304/M404 Preto"/>
    <s v="Original"/>
    <m/>
    <s v="Não"/>
    <n v="360"/>
    <m/>
    <n v="0"/>
    <m/>
  </r>
  <r>
    <s v="CIM 1711"/>
    <s v="ULSETEJO"/>
    <x v="7"/>
    <s v="Toner HP 78A(CE278A)"/>
    <s v="HP"/>
    <s v="Toner HP 78A(CE278A)"/>
    <s v="Original"/>
    <m/>
    <s v="Não"/>
    <n v="42"/>
    <m/>
    <n v="0"/>
    <m/>
  </r>
  <r>
    <s v="CIM 1712"/>
    <s v="ULSETEJO"/>
    <x v="7"/>
    <s v="Toner HP CF360X - LASERJET 508X Preto"/>
    <s v="HP"/>
    <s v="Toner HP CF360X - LASERJET 508X Preto"/>
    <s v="Original"/>
    <m/>
    <s v="Não"/>
    <n v="10"/>
    <m/>
    <n v="0"/>
    <m/>
  </r>
  <r>
    <s v="CIM 1713"/>
    <s v="ULSETEJO"/>
    <x v="7"/>
    <s v="Toner HP CF361X - LASERJET 508X Azul"/>
    <s v="HP"/>
    <s v="Toner HP CF361X - LASERJET 508X Azul"/>
    <s v="Original"/>
    <m/>
    <s v="Não"/>
    <n v="2"/>
    <m/>
    <n v="0"/>
    <m/>
  </r>
  <r>
    <s v="CIM 1714"/>
    <s v="ULSETEJO"/>
    <x v="7"/>
    <s v="Toner HP CF362X - LASERJET 508X Amarelo"/>
    <s v="HP"/>
    <s v="Toner HP CF362X - LASERJET 508X Amarelo"/>
    <s v="Original"/>
    <m/>
    <s v="Não"/>
    <n v="2"/>
    <m/>
    <n v="0"/>
    <m/>
  </r>
  <r>
    <s v="CIM 1715"/>
    <s v="ULSETEJO"/>
    <x v="7"/>
    <s v="Toner HP CF363X - LASERJET 508X Magenta"/>
    <s v="HP"/>
    <s v="Toner HP CF363X - LASERJET 508X Magenta"/>
    <s v="Original"/>
    <m/>
    <s v="Não"/>
    <n v="2"/>
    <m/>
    <n v="0"/>
    <m/>
  </r>
  <r>
    <s v="CIM 1716"/>
    <s v="ULSETEJO"/>
    <x v="7"/>
    <s v="Toner HP LASER JET CF230X"/>
    <s v="HP"/>
    <s v="Toner HP LASER JET CF230X"/>
    <s v="Original"/>
    <m/>
    <s v="Não"/>
    <n v="30"/>
    <m/>
    <n v="0"/>
    <m/>
  </r>
  <r>
    <s v="CIM 1717"/>
    <s v="ULSETEJO"/>
    <x v="7"/>
    <s v="Toner HP LASERJET 149A - W1490A"/>
    <s v="HP"/>
    <s v="Toner HP LASERJET 149A - W1490A"/>
    <s v="Original"/>
    <m/>
    <s v="Não"/>
    <n v="204"/>
    <m/>
    <n v="0"/>
    <m/>
  </r>
  <r>
    <s v="CIM 1718"/>
    <s v="ULSETEJO"/>
    <x v="7"/>
    <s v="Toner HP LaserJet Original 203X - CF540X"/>
    <s v="HP"/>
    <s v="LaserJet Original 203X - CF540X"/>
    <s v="Original"/>
    <m/>
    <s v="Não"/>
    <n v="6"/>
    <m/>
    <n v="0"/>
    <m/>
  </r>
  <r>
    <s v="CIM 1719"/>
    <s v="ULSETEJO"/>
    <x v="7"/>
    <s v="Toner HP LaserJet Original 203X - CF541X"/>
    <s v="HP"/>
    <s v="LaserJet Original 203X - CF541X"/>
    <s v="Original"/>
    <m/>
    <s v="Não"/>
    <n v="6"/>
    <m/>
    <n v="0"/>
    <m/>
  </r>
  <r>
    <s v="CIM 1720"/>
    <s v="ULSETEJO"/>
    <x v="7"/>
    <s v="Toner HP LASERJET PRO M118 DWE"/>
    <s v="HP"/>
    <s v="LASERJET PRO M118 DWE"/>
    <s v="Original"/>
    <m/>
    <s v="Não"/>
    <n v="4"/>
    <m/>
    <n v="0"/>
    <m/>
  </r>
  <r>
    <s v="CIM 1721"/>
    <s v="ULSETEJO"/>
    <x v="7"/>
    <s v="Toner HP Magenta 203X CF543X"/>
    <s v="HP"/>
    <s v="Magenta 203X CF543X"/>
    <s v="Original"/>
    <m/>
    <s v="Não"/>
    <n v="6"/>
    <m/>
    <n v="0"/>
    <m/>
  </r>
  <r>
    <s v="CIM 1722"/>
    <s v="ULSETEJO"/>
    <x v="7"/>
    <s v="Toner HP Preto CE505A"/>
    <s v="HP"/>
    <s v="Toner HP Preto CE505A"/>
    <s v="Original"/>
    <m/>
    <s v="Não"/>
    <n v="2"/>
    <m/>
    <n v="0"/>
    <m/>
  </r>
  <r>
    <s v="CIM 1723"/>
    <s v="ULSETEJO"/>
    <x v="7"/>
    <s v="Toner HP Preto CF280A"/>
    <s v="HP"/>
    <s v="Toner HP Preto CF280A"/>
    <s v="Original"/>
    <m/>
    <s v="Não"/>
    <n v="48"/>
    <m/>
    <n v="0"/>
    <m/>
  </r>
  <r>
    <s v="CIM 1724"/>
    <s v="ULSETEJO"/>
    <x v="7"/>
    <s v="Toner HP Yellow 203X - CF542X"/>
    <s v="HP"/>
    <s v="Yellow 203X - CF542X"/>
    <s v="Original"/>
    <m/>
    <s v="Não"/>
    <n v="6"/>
    <m/>
    <n v="0"/>
    <m/>
  </r>
  <r>
    <s v="CIM 1725"/>
    <s v="ULSETEJO"/>
    <x v="7"/>
    <s v="Toner P/Impressora HP LJ 1102"/>
    <s v="HP"/>
    <s v="Toner P/Impressora HP LJ 1102"/>
    <s v="Original"/>
    <m/>
    <s v="Não"/>
    <n v="84"/>
    <m/>
    <n v="0"/>
    <m/>
  </r>
  <r>
    <s v="CIM 1744"/>
    <s v="ULSG"/>
    <x v="7"/>
    <s v="Toner hp laser jet pro 400 Preto"/>
    <s v="HP"/>
    <s v="LASERJET PRO 400"/>
    <s v="Original"/>
    <n v="2000"/>
    <s v="Sim"/>
    <n v="10"/>
    <m/>
    <n v="0"/>
    <m/>
  </r>
  <r>
    <s v="CIM 1772"/>
    <s v="ULSO"/>
    <x v="7"/>
    <s v="Toner Amarelo HP M452DN"/>
    <s v="HP"/>
    <s v="M452DN"/>
    <s v="Original"/>
    <m/>
    <m/>
    <n v="5"/>
    <m/>
    <n v="0"/>
    <s v="CF412X"/>
  </r>
  <r>
    <s v="CIM 1773"/>
    <s v="ULSO"/>
    <x v="7"/>
    <s v="Toner Amarelo HP Office Jet PRO 6230"/>
    <s v="HP"/>
    <s v="Office Jet PRO 6230"/>
    <s v="Original"/>
    <m/>
    <m/>
    <n v="3"/>
    <m/>
    <n v="0"/>
    <s v="Preto, 934XL"/>
  </r>
  <r>
    <s v="CIM 1774"/>
    <s v="ULSO"/>
    <x v="7"/>
    <s v="Toner Cyan HP M452DN"/>
    <s v="HP"/>
    <s v="M452DN"/>
    <s v="Original"/>
    <m/>
    <m/>
    <n v="5"/>
    <m/>
    <n v="0"/>
    <s v="CF411X"/>
  </r>
  <r>
    <s v="CIM 1775"/>
    <s v="ULSO"/>
    <x v="7"/>
    <s v="Toner Cyan HP Office Jet PRO 6230"/>
    <s v="HP"/>
    <s v="Office Jet PRO 6230"/>
    <s v="Original"/>
    <m/>
    <m/>
    <n v="3"/>
    <m/>
    <n v="0"/>
    <s v="Amarelo, 935XL"/>
  </r>
  <r>
    <s v="CIM 1776"/>
    <s v="ULSO"/>
    <x v="7"/>
    <s v="Toner Magenta HP M452DN"/>
    <s v="HP"/>
    <s v="M452DN"/>
    <s v="Original"/>
    <m/>
    <m/>
    <n v="5"/>
    <m/>
    <n v="0"/>
    <s v="CF413X"/>
  </r>
  <r>
    <s v="CIM 1777"/>
    <s v="ULSO"/>
    <x v="7"/>
    <s v="Toner Magenta HP Office Jet PRO 6230"/>
    <s v="HP"/>
    <s v="Office Jet PRO 6230"/>
    <s v="Original"/>
    <m/>
    <m/>
    <n v="3"/>
    <m/>
    <n v="0"/>
    <s v="Cyan, 935XL"/>
  </r>
  <r>
    <s v="CIM 1778"/>
    <s v="ULSO"/>
    <x v="7"/>
    <s v="Toner Preto HP M452DN"/>
    <s v="HP"/>
    <s v="M452DN"/>
    <s v="Original"/>
    <m/>
    <m/>
    <n v="9"/>
    <m/>
    <n v="0"/>
    <s v="CF410X"/>
  </r>
  <r>
    <s v="CIM 1779"/>
    <s v="ULSO"/>
    <x v="7"/>
    <s v="Toner Preto HP Office Jet PRO 6230"/>
    <s v="HP"/>
    <s v="Office Jet PRO 6230"/>
    <s v="Original"/>
    <m/>
    <m/>
    <n v="3"/>
    <m/>
    <n v="0"/>
    <s v="Magenta, 935XL"/>
  </r>
  <r>
    <s v="CIM 1827"/>
    <s v="ULSPVVC"/>
    <x v="7"/>
    <s v="Tinteiro c8767ee (hp 339) - Preto"/>
    <s v="HP"/>
    <s v="deskjet7410"/>
    <s v="Original"/>
    <n v="860"/>
    <s v="Sim"/>
    <n v="1"/>
    <m/>
    <n v="0"/>
    <m/>
  </r>
  <r>
    <s v="CIM 1828"/>
    <s v="ULSPVVC"/>
    <x v="7"/>
    <s v="Toner q2612a"/>
    <s v="HP"/>
    <s v="1022N/1015"/>
    <s v="Original"/>
    <n v="2000"/>
    <s v="Sim"/>
    <n v="7"/>
    <m/>
    <n v="0"/>
    <m/>
  </r>
  <r>
    <s v="CIM 1866"/>
    <s v="ULSSJOSE"/>
    <x v="7"/>
    <s v="Recipiente Residuos de Toner P/ Impressora HP Color LASER JET ENTERPRISE M553"/>
    <s v="HP"/>
    <s v="Color LASER JET ENTERPRISE M553"/>
    <s v="Original"/>
    <n v="50000"/>
    <s v="N/A"/>
    <n v="1"/>
    <m/>
    <n v="0"/>
    <m/>
  </r>
  <r>
    <s v="CIM 1867"/>
    <s v="ULSSJOSE"/>
    <x v="7"/>
    <s v="Tinteiro HP (C6578AE)"/>
    <s v="HP"/>
    <s v="deskjet/photosmart"/>
    <s v="Original"/>
    <n v="900"/>
    <s v="Sim"/>
    <n v="12"/>
    <m/>
    <n v="0"/>
    <m/>
  </r>
  <r>
    <s v="CIM 1868"/>
    <s v="ULSSJOSE"/>
    <x v="7"/>
    <s v="Tinteiro HP 301 XL Preto (CH563EE)"/>
    <s v="HP"/>
    <s v="deSKJET 1010"/>
    <s v="Original"/>
    <n v="400"/>
    <s v="Sim"/>
    <n v="4"/>
    <m/>
    <n v="0"/>
    <m/>
  </r>
  <r>
    <s v="CIM 1869"/>
    <s v="ULSSJOSE"/>
    <x v="7"/>
    <s v="Tinteiro HP 301 XL TRIColor (CH564EE)"/>
    <s v="HP"/>
    <s v="deSKJET 1010"/>
    <s v="Original"/>
    <n v="250"/>
    <s v="Sim"/>
    <n v="4"/>
    <m/>
    <n v="0"/>
    <m/>
  </r>
  <r>
    <s v="CIM 1870"/>
    <s v="ULSSJOSE"/>
    <x v="7"/>
    <s v="Tinteiro HP 303XL COR"/>
    <s v="HP"/>
    <s v="HP ENVY"/>
    <s v="Original"/>
    <s v="N/A"/>
    <s v="Sim"/>
    <n v="3"/>
    <m/>
    <n v="0"/>
    <m/>
  </r>
  <r>
    <s v="CIM 1871"/>
    <s v="ULSSJOSE"/>
    <x v="7"/>
    <s v="Tinteiro HP 303XL Preto"/>
    <s v="HP"/>
    <s v="HP ENVY"/>
    <s v="Original"/>
    <s v="N/A"/>
    <s v="Sim"/>
    <n v="4"/>
    <m/>
    <n v="0"/>
    <m/>
  </r>
  <r>
    <s v="CIM 1872"/>
    <s v="ULSSJOSE"/>
    <x v="7"/>
    <s v="Tinteiro HP Preto 45 (51645AE)"/>
    <s v="HP"/>
    <s v="HP OFFICE JET"/>
    <s v="Original"/>
    <n v="900"/>
    <s v="Sim"/>
    <n v="6"/>
    <m/>
    <n v="0"/>
    <m/>
  </r>
  <r>
    <s v="CIM 1873"/>
    <s v="ULSSJOSE"/>
    <x v="7"/>
    <s v="Tinteiro P/Impressora HP OFFICEJET 3830 - COR"/>
    <s v="HP"/>
    <s v="HP OFFICEJET 3830"/>
    <s v="Original"/>
    <n v="250"/>
    <s v="Sim"/>
    <n v="2"/>
    <m/>
    <n v="0"/>
    <m/>
  </r>
  <r>
    <s v="CIM 1874"/>
    <s v="ULSSJOSE"/>
    <x v="7"/>
    <s v="Tinteiro P/Impressora HP OFFICEJET 3830 - Preto"/>
    <s v="HP"/>
    <s v="HP OFFICEJET 3830"/>
    <s v="Original"/>
    <n v="400"/>
    <s v="Sim"/>
    <n v="2"/>
    <m/>
    <n v="0"/>
    <m/>
  </r>
  <r>
    <s v="CIM 1875"/>
    <s v="ULSSJOSE"/>
    <x v="7"/>
    <s v="Toner HP LASERJET P1505 / M1120 MFP / M1522 MFP"/>
    <s v="HP"/>
    <s v="LASERJET P1505 / M1120 MFP / M1522 MFP"/>
    <s v="Original"/>
    <n v="1500"/>
    <s v="Não"/>
    <n v="93"/>
    <m/>
    <n v="0"/>
    <m/>
  </r>
  <r>
    <s v="CIM 1876"/>
    <s v="ULSSJOSE"/>
    <x v="7"/>
    <s v="Toner P/ Impressora HP LASERJET PRO M255DW Amarelo"/>
    <s v="HP"/>
    <s v="LASERJET PRO M255DW"/>
    <s v="Original"/>
    <n v="2000"/>
    <s v="Sim"/>
    <n v="1"/>
    <m/>
    <n v="0"/>
    <m/>
  </r>
  <r>
    <s v="CIM 1877"/>
    <s v="ULSSJOSE"/>
    <x v="7"/>
    <s v="Toner P/ Impressora HP LASERJET PRO M255DW Ciano"/>
    <s v="HP"/>
    <s v="LASERJET PRO M255DW"/>
    <s v="Original"/>
    <n v="2000"/>
    <s v="Sim"/>
    <n v="1"/>
    <m/>
    <n v="0"/>
    <m/>
  </r>
  <r>
    <s v="CIM 1878"/>
    <s v="ULSSJOSE"/>
    <x v="7"/>
    <s v="Toner P/ Impressora HP LASERJET PRO M255DW Magenta"/>
    <s v="HP"/>
    <s v="LASERJET PRO M255DW"/>
    <s v="Original"/>
    <n v="2000"/>
    <s v="Sim"/>
    <n v="1"/>
    <m/>
    <n v="0"/>
    <m/>
  </r>
  <r>
    <s v="CIM 1879"/>
    <s v="ULSSJOSE"/>
    <x v="7"/>
    <s v="Toner P/ Impressora HP LASERJET PRO M255DW Preto"/>
    <s v="HP"/>
    <s v="LASERJET PRO M255DW"/>
    <s v="Original"/>
    <n v="3000"/>
    <s v="Sim"/>
    <n v="1"/>
    <m/>
    <n v="0"/>
    <m/>
  </r>
  <r>
    <s v="CIM 1880"/>
    <s v="ULSSJOSE"/>
    <x v="7"/>
    <s v="Toner P/Impressora HP Color LASERJET ENTREPRISE M553 - Amarelo"/>
    <s v="HP"/>
    <s v="Color LASERJET ENTREPRISE M553"/>
    <s v="Original"/>
    <n v="9000"/>
    <s v="Sim"/>
    <n v="4"/>
    <m/>
    <n v="0"/>
    <m/>
  </r>
  <r>
    <s v="CIM 1881"/>
    <s v="ULSSJOSE"/>
    <x v="7"/>
    <s v="Toner P/Impressora HP Color LASERJET ENTREPRISE M553 - Ciano"/>
    <s v="HP"/>
    <s v="Color LASERJET ENTREPRISE M553"/>
    <s v="Original"/>
    <n v="9000"/>
    <s v="Sim"/>
    <n v="8"/>
    <m/>
    <n v="0"/>
    <m/>
  </r>
  <r>
    <s v="CIM 1882"/>
    <s v="ULSSJOSE"/>
    <x v="7"/>
    <s v="Toner P/Impressora HP Color LASERJET ENTREPRISE M553 - Magenta"/>
    <s v="HP"/>
    <s v="Color LASERJET ENTREPRISE M553"/>
    <s v="Original"/>
    <n v="9000"/>
    <s v="Sim"/>
    <n v="2"/>
    <m/>
    <n v="0"/>
    <m/>
  </r>
  <r>
    <s v="CIM 1883"/>
    <s v="ULSSJOSE"/>
    <x v="7"/>
    <s v="Toner P/Impressora HP Color LASERJET ENTREPRISE M553 - Preto"/>
    <s v="HP"/>
    <s v="Color LASERJET ENTREPRISE M553"/>
    <s v="Original"/>
    <n v="12000"/>
    <s v="Sim"/>
    <n v="8"/>
    <m/>
    <n v="0"/>
    <m/>
  </r>
  <r>
    <s v="CIM 1884"/>
    <s v="ULSSJOSE"/>
    <x v="7"/>
    <s v="Toner P/ImpressoraS HP LASERJET PRO 4002DN"/>
    <s v="HP"/>
    <s v="LASERJET PRO 4002DN"/>
    <s v="Original"/>
    <n v="9000"/>
    <s v="Sim"/>
    <n v="6"/>
    <m/>
    <n v="0"/>
    <m/>
  </r>
  <r>
    <s v="CIM 1957"/>
    <s v="ULSVDL"/>
    <x v="7"/>
    <s v="Toner HP LASER 408 dn PRINTER W1331A/X "/>
    <s v="HP"/>
    <s v="HP LASER 408dn"/>
    <s v="Original"/>
    <m/>
    <s v="Sim"/>
    <n v="100"/>
    <m/>
    <n v="0"/>
    <m/>
  </r>
  <r>
    <s v="CIM 1958"/>
    <s v="ULSVDL"/>
    <x v="7"/>
    <s v="Toner P/ IMP. HP LASER JET PRO 400/M401 REF.CF280X"/>
    <s v="HP"/>
    <s v="HP 400/M401"/>
    <s v="Original"/>
    <m/>
    <s v="Sim"/>
    <n v="50"/>
    <m/>
    <n v="0"/>
    <m/>
  </r>
  <r>
    <s v="CIM 1959"/>
    <s v="ULSVDL"/>
    <x v="7"/>
    <s v="Toner P/IMP. H.P. LASER JET 1320 REF. Q5949X"/>
    <s v="HP"/>
    <s v="HP 1320"/>
    <s v="Original"/>
    <m/>
    <s v="Sim"/>
    <n v="200"/>
    <m/>
    <n v="0"/>
    <m/>
  </r>
  <r>
    <s v="CIM 1960"/>
    <s v="ULSVDL"/>
    <x v="7"/>
    <s v="Toner P/IMP. HP 1015 REF. Q2612A"/>
    <s v="HP"/>
    <s v="HP 1015"/>
    <s v="Original"/>
    <m/>
    <s v="Sim"/>
    <n v="30"/>
    <m/>
    <n v="0"/>
    <m/>
  </r>
  <r>
    <s v="CIM1019"/>
    <s v="IPOC"/>
    <x v="7"/>
    <s v="Cartucho p/ imp hp laserjet m506 preto - cf287x (capacidade p/18000 pag.)"/>
    <s v="HP"/>
    <s v="HP LASERJET M506 PRETO - CF287X "/>
    <s v="Original"/>
    <n v="18000"/>
    <s v="Sim"/>
    <n v="4"/>
    <m/>
    <n v="0"/>
    <m/>
  </r>
  <r>
    <s v="CIM1009"/>
    <s v="IPOC"/>
    <x v="7"/>
    <s v="Tinteiro hp 7110 officejet amarelo - cn056a"/>
    <s v="HP"/>
    <s v="HP 7110 OFFICEJET"/>
    <s v="Original"/>
    <n v="800"/>
    <s v="Sim"/>
    <n v="2"/>
    <m/>
    <n v="0"/>
    <m/>
  </r>
  <r>
    <s v="CIM1010"/>
    <s v="IPOC"/>
    <x v="7"/>
    <s v="Tinteiro hp 7110 officejet azul - cn054a"/>
    <s v="HP"/>
    <s v="HP 7110 OFFICEJET"/>
    <s v="Original"/>
    <n v="800"/>
    <s v="Sim"/>
    <n v="2"/>
    <m/>
    <n v="0"/>
    <m/>
  </r>
  <r>
    <s v="CIM1011"/>
    <s v="IPOC"/>
    <x v="7"/>
    <s v="Tinteiro hp 7110 officejet magenta - cn055a"/>
    <s v="HP"/>
    <s v="HP 7110 OFFICEJET"/>
    <s v="Original"/>
    <n v="800"/>
    <s v="Sim"/>
    <n v="2"/>
    <m/>
    <n v="0"/>
    <m/>
  </r>
  <r>
    <s v="CIM1012"/>
    <s v="IPOC"/>
    <x v="7"/>
    <s v="Tinteiro hp 7110 officejet preto - cn053a"/>
    <s v="HP"/>
    <s v="HP 7110 OFFICEJET"/>
    <s v="Original"/>
    <n v="850"/>
    <s v="Sim"/>
    <n v="2"/>
    <m/>
    <n v="0"/>
    <m/>
  </r>
  <r>
    <s v="CIM1032"/>
    <s v="IPOC"/>
    <x v="7"/>
    <s v="Tinteiro hp preto n. 10 - c4844ae  (imp. E ploter) "/>
    <s v="HP"/>
    <s v="TINTEIRO HP PRETO N. 10 - C4844AE  (IMP. E PLOTER) "/>
    <s v="Original"/>
    <n v="2200"/>
    <s v="Sim"/>
    <n v="1"/>
    <m/>
    <n v="0"/>
    <m/>
  </r>
  <r>
    <s v="CIM1024"/>
    <s v="IPOC"/>
    <x v="7"/>
    <s v="Tinteiro hp2510  cores n. 301xl"/>
    <s v="HP"/>
    <s v="HP2510  PRETO N. 301XL"/>
    <s v="Original"/>
    <n v="330"/>
    <s v="Sim"/>
    <n v="1"/>
    <m/>
    <n v="0"/>
    <m/>
  </r>
  <r>
    <s v="CIM1025"/>
    <s v="IPOC"/>
    <x v="7"/>
    <s v="Tinteiro hp2510  preto n. 301xl"/>
    <s v="HP"/>
    <s v="HP2510  PRETO N. 301XL"/>
    <s v="Original"/>
    <n v="480"/>
    <s v="Sim"/>
    <n v="1"/>
    <m/>
    <n v="0"/>
    <m/>
  </r>
  <r>
    <s v="CIM1026"/>
    <s v="IPOC"/>
    <x v="7"/>
    <s v="Tinteiro p/ imp. Hp 3632 cores"/>
    <s v="HP"/>
    <s v="IMP. HP 3632 CORES"/>
    <s v="Original"/>
    <n v="330"/>
    <s v="Sim"/>
    <n v="10"/>
    <m/>
    <n v="0"/>
    <m/>
  </r>
  <r>
    <s v="CIM1027"/>
    <s v="IPOC"/>
    <x v="7"/>
    <s v="Tinteiro p/ imp. Hp 3632 preto "/>
    <s v="HP"/>
    <s v="IMP. HP 3632 CORES"/>
    <s v="Original"/>
    <n v="480"/>
    <s v="Sim"/>
    <n v="12"/>
    <m/>
    <n v="0"/>
    <m/>
  </r>
  <r>
    <s v="CIM1029"/>
    <s v="IPOC"/>
    <x v="7"/>
    <s v="Toner  ce 740a black p/imp. Laserjet cp 5225"/>
    <s v="HP"/>
    <s v="IMP. LASERJET CP 5225"/>
    <s v="Original"/>
    <n v="7000"/>
    <s v="Sim"/>
    <n v="4"/>
    <m/>
    <n v="0"/>
    <m/>
  </r>
  <r>
    <s v="CIM1030"/>
    <s v="IPOC"/>
    <x v="7"/>
    <s v="Toner  ce 741a cian p/imp. Laserjet cp 5225"/>
    <s v="HP"/>
    <s v="IMP. LASERJET CP 5225"/>
    <s v="Original"/>
    <n v="7300"/>
    <s v="Sim"/>
    <n v="1"/>
    <m/>
    <n v="0"/>
    <m/>
  </r>
  <r>
    <s v="CIM1031"/>
    <s v="IPOC"/>
    <x v="7"/>
    <s v="Toner  ce 743a magenta p/imp. Laserjet cp 5225"/>
    <s v="HP"/>
    <s v="IMP. LASERJET CP 5225"/>
    <s v="Original"/>
    <n v="7300"/>
    <s v="Sim"/>
    <n v="1"/>
    <m/>
    <n v="0"/>
    <m/>
  </r>
  <r>
    <s v="CIM1020"/>
    <s v="IPOC"/>
    <x v="7"/>
    <s v="Toner p/ imp. Hp laserjet pro 404 preto ref. Hp59x"/>
    <s v="HP"/>
    <s v="HP LASERJET PRO 404"/>
    <s v="Original"/>
    <n v="10000"/>
    <s v="Sim"/>
    <n v="2"/>
    <m/>
    <n v="0"/>
    <m/>
  </r>
  <r>
    <s v="CIM1008"/>
    <s v="IPOC"/>
    <x v="7"/>
    <s v="Toner p/ imp. Laserjet pro m 201n"/>
    <s v="HP"/>
    <s v=" IMP. LASERJET PRO M 201N"/>
    <s v="Original"/>
    <n v="1500"/>
    <s v="Sim"/>
    <n v="48"/>
    <m/>
    <n v="0"/>
    <m/>
  </r>
  <r>
    <s v="CIM1014"/>
    <s v="IPOC"/>
    <x v="7"/>
    <s v="Toner p/imp. Hp color laserjet pro m252 cyan"/>
    <s v="HP"/>
    <s v="HP COLOR LASERJET PRO M253"/>
    <s v="Original"/>
    <n v="2900"/>
    <s v="Sim"/>
    <n v="8"/>
    <m/>
    <n v="0"/>
    <m/>
  </r>
  <r>
    <s v="CIM1016"/>
    <s v="IPOC"/>
    <x v="7"/>
    <s v="Toner p/imp. Hp color laserjet pro m252 magenta"/>
    <s v="HP"/>
    <s v="HP COLOR LASERJET PRO M255"/>
    <s v="Original"/>
    <n v="2900"/>
    <s v="Sim"/>
    <n v="8"/>
    <m/>
    <n v="0"/>
    <m/>
  </r>
  <r>
    <s v="CIM1013"/>
    <s v="IPOC"/>
    <x v="7"/>
    <s v="Toner p/imp. Hp color laserjet pro m252 preto"/>
    <s v="HP"/>
    <s v="HP COLOR LASERJET PRO M252"/>
    <s v="Original"/>
    <n v="2800"/>
    <s v="Sim"/>
    <n v="8"/>
    <m/>
    <n v="0"/>
    <m/>
  </r>
  <r>
    <s v="CIM1015"/>
    <s v="IPOC"/>
    <x v="7"/>
    <s v="Toner p/imp. Hp color laserjet pro m252 yellow"/>
    <s v="HP"/>
    <s v="HP COLOR LASERJET PRO M254"/>
    <s v="Original"/>
    <n v="2900"/>
    <s v="Sim"/>
    <n v="8"/>
    <m/>
    <n v="0"/>
    <m/>
  </r>
  <r>
    <s v="CIM1023"/>
    <s v="IPOC"/>
    <x v="7"/>
    <s v="Toner p/imp. Hp ref. Ce278a"/>
    <s v="HP"/>
    <s v="HP REF. CE278A"/>
    <s v="Original"/>
    <n v="2100"/>
    <s v="Sim"/>
    <n v="1"/>
    <m/>
    <n v="0"/>
    <m/>
  </r>
  <r>
    <s v="CIM1084"/>
    <s v="IPOL"/>
    <x v="7"/>
    <s v="Toner hp cf 283a"/>
    <s v="HP"/>
    <s v="HP CF 283a"/>
    <s v="Original"/>
    <m/>
    <m/>
    <n v="30"/>
    <m/>
    <n v="0"/>
    <n v="5108610100"/>
  </r>
  <r>
    <s v="CIM1079"/>
    <s v="IPOL"/>
    <x v="7"/>
    <s v="Toner hp laserjet ce278a"/>
    <s v="HP"/>
    <s v="LASERJET CE278A"/>
    <s v="Original"/>
    <m/>
    <m/>
    <n v="40"/>
    <m/>
    <n v="0"/>
    <n v="5108680000"/>
  </r>
  <r>
    <s v="CIM1091"/>
    <s v="IPOL"/>
    <x v="7"/>
    <s v="Toner para laserjet p3015dn - ce255a "/>
    <s v="HP"/>
    <s v="LASERJET P3015DN"/>
    <s v="Original"/>
    <m/>
    <m/>
    <n v="10"/>
    <m/>
    <n v="0"/>
    <n v="5108641100"/>
  </r>
  <r>
    <s v="CIM1080"/>
    <s v="IPOL"/>
    <x v="7"/>
    <s v="Toner preto hp laserjet pro m203dw (cf230/232a)"/>
    <s v="HP"/>
    <s v="LASERJET PRO M203DW"/>
    <s v="Original"/>
    <m/>
    <m/>
    <n v="10"/>
    <m/>
    <n v="0"/>
    <n v="5108632150"/>
  </r>
  <r>
    <s v="CIM1305"/>
    <s v="ULSAA"/>
    <x v="7"/>
    <s v="Tinteiro p/impressora hp officejet pro 8000 série a809 (940 c4900a)"/>
    <s v="HP"/>
    <s v="Pro 8000 série a809 (940 c4900a)"/>
    <s v="Original"/>
    <s v="1 000 Pág"/>
    <s v="Não"/>
    <n v="1"/>
    <m/>
    <n v="0"/>
    <m/>
  </r>
  <r>
    <s v="CIM1306"/>
    <s v="ULSAA"/>
    <x v="7"/>
    <s v="Tinteiro p/impressora hp officejet pro 8000 série a809 (940 c4901a)"/>
    <s v="HP"/>
    <s v="pro 8000 série a809 (940 c4901a)"/>
    <s v="Original"/>
    <s v="1 000 Pág"/>
    <s v="Não"/>
    <n v="1"/>
    <m/>
    <n v="0"/>
    <m/>
  </r>
  <r>
    <s v="CIM1294"/>
    <s v="ULSAA"/>
    <x v="7"/>
    <s v="Tnteiro hp 934 officejet preto (ref.: hpc2p19a) original"/>
    <s v="HP"/>
    <s v="Officejet Pro 6230"/>
    <s v="Original"/>
    <s v="400 pág."/>
    <s v="Não"/>
    <n v="14"/>
    <m/>
    <n v="0"/>
    <m/>
  </r>
  <r>
    <s v="CIM1288"/>
    <s v="ULSAA"/>
    <x v="7"/>
    <s v="Tnteiro hp 935 officejet amarelo (ref.: hpc2p22a) original"/>
    <s v="HP"/>
    <s v="Officejet Pro 6230"/>
    <s v="Original"/>
    <s v="400 pág."/>
    <s v="Não"/>
    <n v="4"/>
    <m/>
    <n v="0"/>
    <m/>
  </r>
  <r>
    <s v="CIM1289"/>
    <s v="ULSAA"/>
    <x v="7"/>
    <s v="Tnteiro hp 935 officejet azul (ref.: hpc2p20a) original"/>
    <s v="HP"/>
    <s v="Officejet Pro 6230"/>
    <s v="Original"/>
    <s v="400 pág."/>
    <s v="Não"/>
    <n v="4"/>
    <m/>
    <n v="0"/>
    <m/>
  </r>
  <r>
    <s v="CIM1290"/>
    <s v="ULSAA"/>
    <x v="7"/>
    <s v="Tnteiro hp 935 officejet magenta (ref.: hpc2p20a) original"/>
    <s v="HP"/>
    <s v="Officejet Pro 6230"/>
    <s v="Original"/>
    <s v="400 pág."/>
    <s v="Não"/>
    <n v="6"/>
    <m/>
    <n v="0"/>
    <m/>
  </r>
  <r>
    <s v="CIM1593"/>
    <s v="ULSAA"/>
    <x v="7"/>
    <s v="TNTEIRO PRETO HP 302 XL"/>
    <s v="HP"/>
    <s v="HP"/>
    <s v="Original"/>
    <s v="480 pág."/>
    <s v="Não"/>
    <n v="2"/>
    <m/>
    <n v="0"/>
    <m/>
  </r>
  <r>
    <s v="CIM1591"/>
    <s v="ULSAA"/>
    <x v="7"/>
    <s v="TONER AMARELO HP COLOR LASERJET PRO M255 / MFP M282 - 207A"/>
    <s v="HP"/>
    <s v="HP Color Laser Jet Pro M255dw"/>
    <s v="Original"/>
    <s v="1 350 pág."/>
    <s v="Não"/>
    <n v="2"/>
    <m/>
    <n v="0"/>
    <m/>
  </r>
  <r>
    <s v="CIM1590"/>
    <s v="ULSAA"/>
    <x v="7"/>
    <s v="TONER CIÃO HP COLOR LASERJET PRO M255 / MFP M282/283 - 207A"/>
    <s v="HP"/>
    <s v="HP Color Laser Jet Pro M255dw"/>
    <s v="Original"/>
    <s v="1 350 pág."/>
    <s v="Não"/>
    <n v="2"/>
    <m/>
    <n v="0"/>
    <m/>
  </r>
  <r>
    <s v="CIM1592"/>
    <s v="ULSAA"/>
    <x v="7"/>
    <s v="TONER MAGENTA HP COLOR LASERJET PRO M255 / MFP M282 - 207A"/>
    <s v="HP"/>
    <s v="HP Color Laser Jet Pro M255dw"/>
    <s v="Original"/>
    <s v="1 350 pág."/>
    <s v="Não"/>
    <n v="2"/>
    <m/>
    <n v="0"/>
    <m/>
  </r>
  <r>
    <s v="CIM1304"/>
    <s v="ULSAA"/>
    <x v="7"/>
    <s v="Toner p/hp laserjet p1102 (ce285a)"/>
    <s v="HP"/>
    <s v="P1102"/>
    <s v="Original"/>
    <s v="1 600 pág."/>
    <s v="Não"/>
    <n v="1"/>
    <m/>
    <n v="0"/>
    <m/>
  </r>
  <r>
    <s v="CIM1589"/>
    <s v="ULSAA"/>
    <x v="7"/>
    <s v="TONER PRETO HP COLOR LASERJET PRO M255 / MFP M282/283 - 207A"/>
    <s v="HP"/>
    <s v="HP Color Laser Jet Pro M255dw"/>
    <s v="Original"/>
    <s v="1 350 pág."/>
    <s v="Não"/>
    <n v="2"/>
    <m/>
    <n v="0"/>
    <m/>
  </r>
  <r>
    <s v="CIM1478"/>
    <s v="ULSAC"/>
    <x v="7"/>
    <s v="CARGA IMP HP DESKJET 2620 COR                                                   "/>
    <s v="HP"/>
    <s v="DESKJET 2620 COR     "/>
    <s v="Original"/>
    <m/>
    <s v="Não"/>
    <n v="180"/>
    <m/>
    <n v="0"/>
    <m/>
  </r>
  <r>
    <s v="CIM0925"/>
    <s v="ULSAC"/>
    <x v="7"/>
    <s v="Carga imp hp deskjet 3050a/1010/4500 preto (ch561ee)"/>
    <s v="HP"/>
    <s v="DESKJET 3050A"/>
    <s v="Original"/>
    <m/>
    <s v="Não"/>
    <n v="40"/>
    <m/>
    <n v="0"/>
    <m/>
  </r>
  <r>
    <s v="CIM0931"/>
    <s v="ULSAC"/>
    <x v="7"/>
    <s v="Toner imp hp deskjet 6940 (c8767e) preto"/>
    <s v="HP"/>
    <s v="DESKJET 6940"/>
    <s v="Original"/>
    <m/>
    <s v="Não"/>
    <n v="60"/>
    <m/>
    <n v="0"/>
    <m/>
  </r>
  <r>
    <s v="CIM0932"/>
    <s v="ULSAC"/>
    <x v="7"/>
    <s v="Toner imp hp laser jet 1020 (q2612a)"/>
    <s v="HP"/>
    <s v="HP LASER JET 1020"/>
    <s v="Original"/>
    <m/>
    <s v="Não"/>
    <n v="3"/>
    <m/>
    <n v="0"/>
    <m/>
  </r>
  <r>
    <s v="CIM1489"/>
    <s v="ULSAC"/>
    <x v="7"/>
    <s v="TONER IMP HP LASER JET 2100 C4096-A                                             "/>
    <s v="HP"/>
    <s v="LASER JET 2100 C4096-A    "/>
    <s v="Original"/>
    <m/>
    <s v="Não"/>
    <n v="1"/>
    <m/>
    <n v="0"/>
    <m/>
  </r>
  <r>
    <s v="CIM0933"/>
    <s v="ULSAC"/>
    <x v="7"/>
    <s v="Toner imp hp laser jet 400 pro mfp m476dn preto (cf380a)"/>
    <s v="HP"/>
    <s v="HP LASER JET 400 PRO"/>
    <s v="Original"/>
    <m/>
    <s v="Não"/>
    <n v="60"/>
    <m/>
    <n v="0"/>
    <m/>
  </r>
  <r>
    <s v="CIM1490"/>
    <s v="ULSAC"/>
    <x v="7"/>
    <s v="TONER IMP HP LASER JET 4200N (Q1338A)                                           "/>
    <s v="HP"/>
    <s v="LASER JET 4200N (Q1338A)   "/>
    <s v="Original"/>
    <m/>
    <s v="Não"/>
    <n v="1"/>
    <m/>
    <n v="0"/>
    <m/>
  </r>
  <r>
    <s v="CIM0928"/>
    <s v="ULSAC"/>
    <x v="7"/>
    <s v="Toner imp hp laser jet p2035 (ce505a)"/>
    <s v="HP"/>
    <s v="HP LASER JET P2035"/>
    <s v="Original"/>
    <m/>
    <s v="Não"/>
    <n v="2"/>
    <m/>
    <n v="0"/>
    <m/>
  </r>
  <r>
    <s v="CIM0920"/>
    <s v="ULSAC"/>
    <x v="7"/>
    <s v="Toner imp hp laser jet p2055dn"/>
    <s v="HP"/>
    <s v="LASER JET P2055DN"/>
    <s v="Original"/>
    <m/>
    <s v="Não"/>
    <n v="15"/>
    <m/>
    <n v="0"/>
    <m/>
  </r>
  <r>
    <s v="CIM1570"/>
    <s v="ULSAM "/>
    <x v="7"/>
    <s v="Tinteiro impressora HP 302 cor                                         "/>
    <s v="HP"/>
    <s v="DESKJET 1110"/>
    <s v="Original"/>
    <m/>
    <m/>
    <n v="120"/>
    <m/>
    <n v="0"/>
    <m/>
  </r>
  <r>
    <s v="CIM1569"/>
    <s v="ULSAM "/>
    <x v="7"/>
    <s v="Tinteiro impressora HP 302 preto                                       "/>
    <s v="HP"/>
    <s v="DESKJET 1110"/>
    <s v="Original"/>
    <m/>
    <m/>
    <n v="250"/>
    <m/>
    <n v="0"/>
    <m/>
  </r>
  <r>
    <s v="CIM1574"/>
    <s v="ULSAM "/>
    <x v="7"/>
    <s v="Tinteiro impressora HP 304 xl preto                                    "/>
    <s v="HP"/>
    <s v="DESKJET 3720"/>
    <s v="Original"/>
    <m/>
    <m/>
    <n v="70"/>
    <m/>
    <n v="0"/>
    <m/>
  </r>
  <r>
    <s v="CIM1575"/>
    <s v="ULSAM "/>
    <x v="7"/>
    <s v="Tinteiro impressora HP 304 xl tricolor                                 "/>
    <s v="HP"/>
    <s v="DESKJET 3720"/>
    <s v="Original"/>
    <m/>
    <m/>
    <n v="30"/>
    <m/>
    <n v="0"/>
    <m/>
  </r>
  <r>
    <s v="CIM1579"/>
    <s v="ULSAM "/>
    <x v="7"/>
    <s v="Tinteiro impressora HP 953 xl amarelo                                  "/>
    <s v="HP"/>
    <m/>
    <s v="Original"/>
    <m/>
    <m/>
    <n v="10"/>
    <m/>
    <n v="0"/>
    <m/>
  </r>
  <r>
    <s v="CIM1577"/>
    <s v="ULSAM "/>
    <x v="7"/>
    <s v="Tinteiro impressora HP 953 xl ciano                                    "/>
    <s v="HP"/>
    <s v="DESKJET 3720"/>
    <s v="Original"/>
    <m/>
    <m/>
    <n v="4"/>
    <m/>
    <n v="0"/>
    <m/>
  </r>
  <r>
    <s v="CIM1578"/>
    <s v="ULSAM "/>
    <x v="7"/>
    <s v="Tinteiro impressora HP 953 xl magenta                                  "/>
    <s v="HP"/>
    <s v="DESKJET 3720"/>
    <s v="Original"/>
    <m/>
    <m/>
    <n v="4"/>
    <m/>
    <n v="0"/>
    <m/>
  </r>
  <r>
    <s v="CIM1576"/>
    <s v="ULSAM "/>
    <x v="7"/>
    <s v="Tinteiro impressora HP 953 xl preto                                    "/>
    <s v="HP"/>
    <s v="DESKJET 3720"/>
    <s v="Original"/>
    <m/>
    <m/>
    <n v="10"/>
    <m/>
    <n v="0"/>
    <m/>
  </r>
  <r>
    <s v="CIM1537"/>
    <s v="ULSAM "/>
    <x v="7"/>
    <s v="Tinteiro impressora HP c6625 ae - 17 cor                               "/>
    <s v="HP"/>
    <m/>
    <s v="Original"/>
    <m/>
    <m/>
    <n v="3"/>
    <m/>
    <n v="0"/>
    <m/>
  </r>
  <r>
    <s v="CIM1541"/>
    <s v="ULSAM "/>
    <x v="7"/>
    <s v="Tinteiro impressora HP c6656 a - 56 preto                              "/>
    <s v="HP"/>
    <m/>
    <s v="Original"/>
    <m/>
    <m/>
    <n v="30"/>
    <m/>
    <n v="0"/>
    <m/>
  </r>
  <r>
    <s v="CIM1542"/>
    <s v="ULSAM "/>
    <x v="7"/>
    <s v="Tinteiro impressora HP c6657 a - 57 cor                                "/>
    <s v="HP"/>
    <m/>
    <s v="Original"/>
    <m/>
    <m/>
    <n v="25"/>
    <m/>
    <n v="0"/>
    <m/>
  </r>
  <r>
    <s v="CIM1546"/>
    <s v="ULSAM "/>
    <x v="7"/>
    <s v="Tinteiro impressora HP c8767 e - 339 preto                             "/>
    <s v="HP"/>
    <m/>
    <s v="Original"/>
    <m/>
    <m/>
    <n v="20"/>
    <m/>
    <n v="0"/>
    <m/>
  </r>
  <r>
    <s v="CIM1549"/>
    <s v="ULSAM "/>
    <x v="7"/>
    <s v="Tinteiro impressora HP c9351 ae - 21 preto                             "/>
    <s v="HP"/>
    <m/>
    <s v="Original"/>
    <m/>
    <m/>
    <n v="30"/>
    <m/>
    <n v="0"/>
    <m/>
  </r>
  <r>
    <s v="CIM1547"/>
    <s v="ULSAM "/>
    <x v="7"/>
    <s v="Tinteiro impressora HP c9363 e - 344 cor                               "/>
    <s v="HP"/>
    <m/>
    <s v="Original"/>
    <m/>
    <m/>
    <n v="20"/>
    <m/>
    <n v="0"/>
    <m/>
  </r>
  <r>
    <s v="CIM1535"/>
    <s v="ULSAM "/>
    <x v="7"/>
    <s v="Tinteiro impressora HP cc641ee xl 300 preto                            "/>
    <s v="HP"/>
    <s v="DESKJET D5560"/>
    <s v="Original"/>
    <m/>
    <m/>
    <n v="18"/>
    <m/>
    <n v="0"/>
    <m/>
  </r>
  <r>
    <s v="CIM1536"/>
    <s v="ULSAM "/>
    <x v="7"/>
    <s v="Tinteiro impressora HP cc644ee 300 xl cor                              "/>
    <s v="HP"/>
    <s v="DESKJET D5560"/>
    <s v="Original"/>
    <m/>
    <m/>
    <n v="18"/>
    <m/>
    <n v="0"/>
    <m/>
  </r>
  <r>
    <s v="CIM1558"/>
    <s v="ULSAM "/>
    <x v="7"/>
    <s v="Tinteiro impressora HP ch563ee 301xl preto                             "/>
    <s v="HP"/>
    <s v="DESKJET 3050"/>
    <s v="Original"/>
    <m/>
    <m/>
    <n v="18"/>
    <m/>
    <n v="0"/>
    <m/>
  </r>
  <r>
    <s v="CIM1559"/>
    <s v="ULSAM "/>
    <x v="7"/>
    <s v="Tinteiro impressora HP ch564ee 301xl tricolor                          "/>
    <s v="HP"/>
    <s v="DESKJET 3050"/>
    <s v="Original"/>
    <m/>
    <m/>
    <n v="100"/>
    <m/>
    <n v="0"/>
    <m/>
  </r>
  <r>
    <s v="CIM1564"/>
    <s v="ULSAM "/>
    <x v="7"/>
    <s v="Tinteiro multifunções HP 950 xl preto cn045ae                           "/>
    <s v="HP"/>
    <s v="OFFICEJET PRO 8610"/>
    <s v="Original"/>
    <m/>
    <m/>
    <n v="2"/>
    <m/>
    <n v="0"/>
    <m/>
  </r>
  <r>
    <s v="CIM1567"/>
    <s v="ULSAM "/>
    <x v="7"/>
    <s v="Tinteiro multifunções HP 951 xl amarelo cn048ae                         "/>
    <s v="HP"/>
    <s v="OFFICEJET PRO 8610"/>
    <s v="Original"/>
    <m/>
    <m/>
    <n v="2"/>
    <m/>
    <n v="0"/>
    <m/>
  </r>
  <r>
    <s v="CIM1565"/>
    <s v="ULSAM "/>
    <x v="7"/>
    <s v="Tinteiro multifunções HP 951 xl ciano cn046ae                           "/>
    <s v="HP"/>
    <s v="OFFICEJET PRO 8610"/>
    <s v="Original"/>
    <m/>
    <m/>
    <n v="2"/>
    <m/>
    <n v="0"/>
    <m/>
  </r>
  <r>
    <s v="CIM1566"/>
    <s v="ULSAM "/>
    <x v="7"/>
    <s v="Tinteiro multifunções HP 951 xl magenta cn047ae                         "/>
    <s v="HP"/>
    <s v="OFFICEJET PRO 8610"/>
    <s v="Original"/>
    <m/>
    <m/>
    <n v="2"/>
    <m/>
    <n v="0"/>
    <m/>
  </r>
  <r>
    <s v="CIM1573"/>
    <s v="ULSAM "/>
    <x v="7"/>
    <s v="Toner impressora HP cf226a - 26a                                   "/>
    <s v="HP"/>
    <s v="Laserjet Pro MFP M402dn"/>
    <s v="Original"/>
    <m/>
    <m/>
    <n v="70"/>
    <m/>
    <n v="0"/>
    <m/>
  </r>
  <r>
    <s v="CIM1572"/>
    <s v="ULSAM "/>
    <x v="7"/>
    <s v="Unidade imagem HP cf219a (19a)                              "/>
    <s v="HP"/>
    <m/>
    <s v="Original"/>
    <m/>
    <m/>
    <n v="10"/>
    <m/>
    <n v="0"/>
    <m/>
  </r>
  <r>
    <s v="CIM0240"/>
    <s v="ULSCBeira"/>
    <x v="7"/>
    <s v="Tinteiro cor ref.ªc6625a hp"/>
    <s v="HP"/>
    <s v="HP 840C "/>
    <s v="Original"/>
    <m/>
    <s v="Sim"/>
    <n v="1"/>
    <m/>
    <n v="0"/>
    <m/>
  </r>
  <r>
    <s v="CIM0233"/>
    <s v="ULSCBeira"/>
    <x v="7"/>
    <s v="Tinteiro cores ref. C6578d hp"/>
    <s v="HP"/>
    <s v="HP 916C"/>
    <s v="Original"/>
    <m/>
    <s v="Sim"/>
    <n v="4"/>
    <m/>
    <n v="0"/>
    <m/>
  </r>
  <r>
    <s v="CIM0239"/>
    <s v="ULSCBeira"/>
    <x v="7"/>
    <s v="Tinteiro preto ref. C6615n"/>
    <s v="HP"/>
    <s v="HP 840C "/>
    <s v="Original"/>
    <m/>
    <s v="Sim"/>
    <n v="1"/>
    <m/>
    <n v="0"/>
    <m/>
  </r>
  <r>
    <s v="CIM0247"/>
    <s v="ULSCBeira"/>
    <x v="7"/>
    <s v="Toner preto ref. Ce285a"/>
    <s v="HP"/>
    <s v="HP LAZERJET P1102 "/>
    <s v="Original"/>
    <m/>
    <s v="Sim"/>
    <n v="1"/>
    <m/>
    <n v="0"/>
    <m/>
  </r>
  <r>
    <s v="CIM1230"/>
    <s v="ULSM"/>
    <x v="7"/>
    <s v="Toner impressora hp 1010/1018/1022 hp/12a"/>
    <s v="HP"/>
    <s v="1010/1018/1022 HP/12A"/>
    <s v="Original"/>
    <n v="2000"/>
    <s v="Sim"/>
    <n v="10"/>
    <m/>
    <n v="0"/>
    <m/>
  </r>
  <r>
    <s v="CIM1412"/>
    <s v="ULSO"/>
    <x v="7"/>
    <s v="Tinteiro amarelo"/>
    <s v="HP"/>
    <s v="Designjet T930"/>
    <s v="Original"/>
    <m/>
    <m/>
    <n v="4"/>
    <m/>
    <n v="0"/>
    <s v="preto matte"/>
  </r>
  <r>
    <s v="CIM1413"/>
    <s v="ULSO"/>
    <x v="7"/>
    <s v="Tinteiro azul"/>
    <s v="HP"/>
    <s v="Designjet T930"/>
    <s v="Original"/>
    <m/>
    <m/>
    <n v="4"/>
    <m/>
    <n v="0"/>
    <s v="preto fotográfico"/>
  </r>
  <r>
    <s v="CIM1414"/>
    <s v="ULSO"/>
    <x v="7"/>
    <s v="Tinteiro cinzento"/>
    <s v="HP"/>
    <s v="Designjet T930"/>
    <s v="Original"/>
    <m/>
    <m/>
    <n v="2"/>
    <m/>
    <n v="0"/>
    <s v="cinzento"/>
  </r>
  <r>
    <s v="CIM1415"/>
    <s v="ULSO"/>
    <x v="7"/>
    <s v="Tinteiro magenta"/>
    <s v="HP"/>
    <s v="Designjet T930"/>
    <s v="Original"/>
    <m/>
    <m/>
    <n v="2"/>
    <m/>
    <n v="0"/>
    <s v="amarelo"/>
  </r>
  <r>
    <s v="CIM1416"/>
    <s v="ULSO"/>
    <x v="7"/>
    <s v="Tinteiro preto fotográfico"/>
    <s v="HP"/>
    <s v="Designjet T930"/>
    <s v="Original"/>
    <m/>
    <m/>
    <n v="2"/>
    <m/>
    <n v="0"/>
    <s v="azul"/>
  </r>
  <r>
    <s v="CIM1417"/>
    <s v="ULSO"/>
    <x v="7"/>
    <s v="Tinteiro preto matte"/>
    <s v="HP"/>
    <s v="Designjet T930"/>
    <s v="Original"/>
    <m/>
    <m/>
    <n v="2"/>
    <m/>
    <n v="0"/>
    <s v="magenta"/>
  </r>
  <r>
    <s v="CIM0797"/>
    <s v="ULSO"/>
    <x v="7"/>
    <s v="Toner preto 1006 hp"/>
    <s v="HP"/>
    <n v="1006"/>
    <s v="Original"/>
    <m/>
    <s v="Não"/>
    <n v="17"/>
    <m/>
    <n v="0"/>
    <s v="CB435A"/>
  </r>
  <r>
    <s v="CIM0795"/>
    <s v="ULSO"/>
    <x v="7"/>
    <s v="Toner preto 1102 hp"/>
    <s v="HP"/>
    <n v="1102"/>
    <s v="Original"/>
    <m/>
    <s v="Não"/>
    <n v="17"/>
    <m/>
    <n v="0"/>
    <s v="CE285A"/>
  </r>
  <r>
    <s v="CIM1448"/>
    <s v="ULSSA"/>
    <x v="7"/>
    <s v="Tinteiro c9363ee (344) - tricolor"/>
    <s v="HP"/>
    <s v="Photosmart 8450, 8150, 2710, 2610, 375 and 325 Printers, HP Officejet 7410, 7310 and 6210 Printers, HP PSC 235 All-in-One Printers, HP Deskjet 6840, 6540, 6520 and 5740 Printers"/>
    <s v="Original"/>
    <n v="560"/>
    <s v="Sim"/>
    <n v="5"/>
    <m/>
    <n v="0"/>
    <n v="522506124"/>
  </r>
  <r>
    <s v="CIM1455"/>
    <s v="ULSSA"/>
    <x v="7"/>
    <s v="Tinteiro hp 920xl amarelo un "/>
    <s v="HP"/>
    <s v="N/A"/>
    <s v="Original"/>
    <m/>
    <s v="Não"/>
    <n v="2"/>
    <m/>
    <n v="0"/>
    <n v="522509165"/>
  </r>
  <r>
    <s v="CIM1456"/>
    <s v="ULSSA"/>
    <x v="7"/>
    <s v="Tinteiro hp 920xl ciano"/>
    <s v="HP"/>
    <s v="N/A"/>
    <s v="Original"/>
    <m/>
    <s v="Não"/>
    <n v="2"/>
    <m/>
    <n v="0"/>
    <n v="522509166"/>
  </r>
  <r>
    <s v="CIM1457"/>
    <s v="ULSSA"/>
    <x v="7"/>
    <s v="Tinteiro hp 920xl magenta"/>
    <s v="HP"/>
    <s v="N/A"/>
    <s v="Original"/>
    <m/>
    <s v="Não"/>
    <n v="2"/>
    <m/>
    <n v="0"/>
    <n v="522509167"/>
  </r>
  <r>
    <s v="CIM1447"/>
    <s v="ULSSA"/>
    <x v="7"/>
    <s v="Tinteiro hp c8766ee (hp 343) - tricolor"/>
    <s v="HP"/>
    <s v="DESKJET 460C / 5740 / 5745 / 6520 / 6540 / 6620 / 6840 / 6940 / 6980 / 9800 / D4160 / OFFICEJET 6205 / 6210 / 6215 / 6310 / 6315 / 7210 / 7310 / 7410 / H470 / K7100 / PHOTOSMART 325 / 335 / 375 / 385 / 422 / 428 / 475 / 2570 / 2575 / 2610 / 2710 / 7850 / 8050 / 8150 / 8450 / 8750 / C3170 / C3180 / C3190 / C4180 / C4190 / D5160 / PRO B8350 / PSC 1507 / 1510 / 1600 / 1610 / 2350 / 2355"/>
    <s v="Original"/>
    <n v="330"/>
    <s v="Sim"/>
    <n v="2"/>
    <m/>
    <n v="0"/>
    <n v="522506148"/>
  </r>
  <r>
    <s v="CIM1475"/>
    <s v="ULSSA"/>
    <x v="7"/>
    <s v="TINTEIRO HP CORES CC643FF (300)"/>
    <s v="HP"/>
    <m/>
    <s v="Original"/>
    <m/>
    <s v="Não"/>
    <n v="3"/>
    <m/>
    <n v="0"/>
    <n v="522506172"/>
  </r>
  <r>
    <s v="CIM1464"/>
    <s v="ULSSA"/>
    <x v="7"/>
    <s v="Tinteiro impressora hp deskjet f 4280 (cc641-300xl) preto"/>
    <s v="HP"/>
    <s v="DESKJET F 4280 "/>
    <s v="Original"/>
    <m/>
    <s v="Não"/>
    <n v="5"/>
    <m/>
    <n v="0"/>
    <n v="522405597"/>
  </r>
  <r>
    <s v="CIM1465"/>
    <s v="ULSSA"/>
    <x v="7"/>
    <s v="Tinteiro p/imp. Hp cb338ee nº351xl cor (original)"/>
    <s v="HP"/>
    <s v="HP DESKJET D4260"/>
    <s v="Original"/>
    <n v="580"/>
    <s v="Sim"/>
    <n v="2"/>
    <m/>
    <n v="0"/>
    <n v="522506136"/>
  </r>
  <r>
    <s v="CIM1463"/>
    <s v="ULSSA"/>
    <x v="7"/>
    <s v="Toner impr hp laserjet 200 amare(cf212a)"/>
    <s v="HP"/>
    <s v="N/A"/>
    <s v="Original"/>
    <m/>
    <s v="Não"/>
    <n v="10"/>
    <m/>
    <n v="0"/>
    <n v="522204665"/>
  </r>
  <r>
    <s v="CIM1462"/>
    <s v="ULSSA"/>
    <x v="7"/>
    <s v="Toner impr hp laserjet 200 magen(cf213a)"/>
    <s v="HP"/>
    <s v="N/A"/>
    <s v="Original"/>
    <m/>
    <s v="Não"/>
    <n v="10"/>
    <m/>
    <n v="0"/>
    <n v="522204666"/>
  </r>
  <r>
    <s v="CIM1461"/>
    <s v="ULSSA"/>
    <x v="7"/>
    <s v="Toner impr hp laserjet 200 preto(cf210a)"/>
    <s v="HP"/>
    <s v="N/A"/>
    <s v="Original"/>
    <m/>
    <s v="Não"/>
    <n v="10"/>
    <m/>
    <n v="0"/>
    <n v="522204663"/>
  </r>
  <r>
    <s v="CIM1466"/>
    <s v="ULSSA"/>
    <x v="7"/>
    <s v="Toner preto p/ hp  lj cp1215  hp cb540a"/>
    <s v="HP"/>
    <s v=" LJ CP1215"/>
    <s v="Original"/>
    <m/>
    <s v="Não"/>
    <n v="3"/>
    <m/>
    <n v="0"/>
    <n v="522204643"/>
  </r>
  <r>
    <s v="CIM0481"/>
    <s v="ULSSJOSE"/>
    <x v="7"/>
    <s v="Tinteiro p/impressora hp officejet pro x451 dw (amarelo)"/>
    <s v="HP"/>
    <s v="OFFICEJET PRO X451 DW"/>
    <s v="Original"/>
    <n v="6000"/>
    <s v="Sim"/>
    <n v="4"/>
    <m/>
    <n v="0"/>
    <m/>
  </r>
  <r>
    <s v="CIM0482"/>
    <s v="ULSSJOSE"/>
    <x v="7"/>
    <s v="Tinteiro p/impressora hp officejet pro x451 dw (cyan)"/>
    <s v="HP"/>
    <s v="OFFICEJET PRO X451 DW"/>
    <s v="Original"/>
    <n v="6000"/>
    <s v="Sim"/>
    <n v="4"/>
    <m/>
    <n v="0"/>
    <m/>
  </r>
  <r>
    <s v="CIM0483"/>
    <s v="ULSSJOSE"/>
    <x v="7"/>
    <s v="Tinteiro p/impressora hp officejet pro x451 dw (magenta)"/>
    <s v="HP"/>
    <s v="OFFICEJET PRO X451 DW"/>
    <s v="Original"/>
    <n v="6000"/>
    <s v="Sim"/>
    <n v="4"/>
    <m/>
    <n v="0"/>
    <m/>
  </r>
  <r>
    <s v="CIM0484"/>
    <s v="ULSSJOSE"/>
    <x v="7"/>
    <s v="Tinteiro p/impressora hp officejet pro x451 dw (preto)"/>
    <s v="HP"/>
    <s v="OFFICEJET PRO X451 DW"/>
    <s v="Original"/>
    <n v="9000"/>
    <s v="Sim"/>
    <n v="4"/>
    <m/>
    <n v="0"/>
    <m/>
  </r>
  <r>
    <s v="CIM0356"/>
    <s v="ULSSJOSE"/>
    <x v="7"/>
    <s v="Tinteiro p/plotter hp designjet t 520 - amarelo"/>
    <s v="HP"/>
    <s v="DESIGNJET T 520"/>
    <s v="Original"/>
    <s v="N/A"/>
    <s v="Não"/>
    <n v="2"/>
    <m/>
    <n v="0"/>
    <m/>
  </r>
  <r>
    <s v="CIM0357"/>
    <s v="ULSSJOSE"/>
    <x v="7"/>
    <s v="Tinteiro p/plotter hp designjet t 520 - azul"/>
    <s v="HP"/>
    <s v="DESIGNJET T 520"/>
    <s v="Original"/>
    <s v="N/A"/>
    <s v="Não"/>
    <n v="1"/>
    <m/>
    <n v="0"/>
    <m/>
  </r>
  <r>
    <s v="CIM0358"/>
    <s v="ULSSJOSE"/>
    <x v="7"/>
    <s v="Tinteiro p/plotter hp designjet t 520 - magenta"/>
    <s v="HP"/>
    <s v="DESIGNJET T 520"/>
    <s v="Original"/>
    <s v="N/A"/>
    <s v="Não"/>
    <n v="2"/>
    <m/>
    <n v="0"/>
    <m/>
  </r>
  <r>
    <s v="CIM0488"/>
    <s v="ULSSJOSE"/>
    <x v="7"/>
    <s v="Toner hp (ce255x)"/>
    <s v="HP"/>
    <s v="P3015"/>
    <s v="Original"/>
    <n v="12000"/>
    <s v="Sim"/>
    <n v="5"/>
    <m/>
    <n v="0"/>
    <m/>
  </r>
  <r>
    <s v="CIM0373"/>
    <s v="ULSSJOSE"/>
    <x v="7"/>
    <s v="Toner hp (ce505a)"/>
    <s v="HP"/>
    <s v="DESKJET/OFFICEJET/INKJET"/>
    <s v="Original"/>
    <n v="2000"/>
    <s v="Não"/>
    <n v="117"/>
    <m/>
    <n v="0"/>
    <m/>
  </r>
  <r>
    <s v="CIM0376"/>
    <s v="ULSSJOSE"/>
    <x v="7"/>
    <s v="Toner hp (q1338a)"/>
    <s v="HP"/>
    <s v="DESKJET/OFFICEJET/INKJET"/>
    <s v="Original"/>
    <n v="10000"/>
    <s v="Não"/>
    <n v="14"/>
    <m/>
    <n v="0"/>
    <m/>
  </r>
  <r>
    <s v="CIM0374"/>
    <s v="ULSSJOSE"/>
    <x v="7"/>
    <s v="Toner hp (q5949x)"/>
    <s v="HP"/>
    <s v="DESKJET/OFFICEJET/INKJET"/>
    <s v="Original"/>
    <n v="5500"/>
    <s v="Sim"/>
    <n v="43"/>
    <m/>
    <n v="0"/>
    <m/>
  </r>
  <r>
    <s v="CIM0432"/>
    <s v="ULSSJOSE"/>
    <x v="7"/>
    <s v="Toner hp laserjet p 1102 - ce 285 a/85a"/>
    <s v="HP"/>
    <s v="LASERJET P1102"/>
    <s v="Original"/>
    <n v="1000"/>
    <s v="Não"/>
    <n v="6"/>
    <m/>
    <n v="0"/>
    <m/>
  </r>
  <r>
    <s v="CIM0486"/>
    <s v="ULSSJOSE"/>
    <x v="7"/>
    <s v="Toner hp laserjet p2015 (q7553x)"/>
    <s v="HP"/>
    <s v="P2015"/>
    <s v="Original"/>
    <n v="6500"/>
    <s v="Sim"/>
    <n v="45"/>
    <m/>
    <n v="0"/>
    <m/>
  </r>
  <r>
    <s v="CIM0418"/>
    <s v="ULSSJOSE"/>
    <x v="7"/>
    <s v="Toner impressora hp c7115x"/>
    <s v="HP"/>
    <s v="LASERJET 3310"/>
    <s v="Original"/>
    <n v="3000"/>
    <s v="Sim"/>
    <n v="6"/>
    <m/>
    <n v="0"/>
    <m/>
  </r>
  <r>
    <s v="CIM0487"/>
    <s v="ULSSJOSE"/>
    <x v="7"/>
    <s v="Toner impressora hp ce 505x"/>
    <s v="HP"/>
    <s v="P2055"/>
    <s v="Original"/>
    <n v="6000"/>
    <s v="Sim"/>
    <n v="97"/>
    <m/>
    <n v="0"/>
    <m/>
  </r>
  <r>
    <s v="CIM0431"/>
    <s v="ULSSJOSE"/>
    <x v="7"/>
    <s v="Toner p/ impressora hp laserjet m404 dn"/>
    <s v="HP"/>
    <s v="LASERJET M404 DN"/>
    <s v="Original"/>
    <n v="9500"/>
    <s v="Sim"/>
    <n v="476"/>
    <m/>
    <n v="0"/>
    <m/>
  </r>
  <r>
    <s v="CIM0491"/>
    <s v="ULSSJOSE"/>
    <x v="7"/>
    <s v="Toner p/ impressora hp pro m402n"/>
    <s v="HP"/>
    <s v="PRO M402N"/>
    <s v="Original"/>
    <n v="8500"/>
    <s v="Sim"/>
    <n v="13"/>
    <m/>
    <n v="0"/>
    <m/>
  </r>
  <r>
    <s v="CIM0428"/>
    <s v="ULSSJOSE"/>
    <x v="7"/>
    <s v="Toner p/impressora hp laserjet m 402 dn"/>
    <s v="HP"/>
    <s v="LASERJET M 402 DN"/>
    <s v="Original"/>
    <n v="8500"/>
    <s v="Sim"/>
    <n v="20"/>
    <m/>
    <n v="0"/>
    <m/>
  </r>
  <r>
    <s v="CIM0429"/>
    <s v="ULSSJOSE"/>
    <x v="7"/>
    <s v="Toner p/impressora hp laserjet m 506 dn"/>
    <s v="HP"/>
    <s v="LASERJET M 506 DN"/>
    <s v="Original"/>
    <n v="17500"/>
    <s v="Sim"/>
    <n v="18"/>
    <m/>
    <n v="0"/>
    <m/>
  </r>
  <r>
    <s v="CIM0434"/>
    <s v="ULSSJOSE"/>
    <x v="7"/>
    <s v="Toner p/impressora hp laserjet pro 400 / m 401 dn"/>
    <s v="HP"/>
    <s v="LASERJET PRO 400 / M 401 DN"/>
    <s v="Original"/>
    <n v="6500"/>
    <s v="Sim"/>
    <n v="151"/>
    <m/>
    <n v="0"/>
    <m/>
  </r>
  <r>
    <s v="CIM0437"/>
    <s v="ULSSJOSE"/>
    <x v="7"/>
    <s v="Toner p/impressora hp laserjet pro mfp 125"/>
    <s v="HP"/>
    <s v="LASERJET PRO MFP 125"/>
    <s v="Original"/>
    <n v="1000"/>
    <s v="Não"/>
    <n v="2"/>
    <m/>
    <n v="0"/>
    <m/>
  </r>
  <r>
    <s v="CIM0823"/>
    <s v="ULSVDL"/>
    <x v="7"/>
    <s v="Tinteiro p/imp. Hp 1010 ref.301xl cor (original)"/>
    <s v="HP"/>
    <s v="HP 1010"/>
    <s v="Original"/>
    <n v="165"/>
    <s v="Sim"/>
    <n v="100"/>
    <m/>
    <n v="0"/>
    <m/>
  </r>
  <r>
    <s v="CIM0822"/>
    <s v="ULSVDL"/>
    <x v="7"/>
    <s v="Tinteiro p/imp. Hp 1010 ref.301xl preto (original)"/>
    <s v="HP"/>
    <s v="HP 1010"/>
    <s v="Original"/>
    <n v="190"/>
    <s v="Sim"/>
    <n v="150"/>
    <m/>
    <n v="0"/>
    <m/>
  </r>
  <r>
    <s v="CIM0820"/>
    <s v="ULSVDL"/>
    <x v="7"/>
    <s v="Tinteiro p/imp. Hp 5652 ref.c6656a preto (original)"/>
    <s v="HP"/>
    <s v="HP 5652"/>
    <s v="Original"/>
    <n v="520"/>
    <s v="Não"/>
    <n v="2"/>
    <m/>
    <n v="0"/>
    <m/>
  </r>
  <r>
    <s v="CIM0830"/>
    <s v="ULSVDL"/>
    <x v="7"/>
    <s v="Tinteiro p/imp. Hp 5652 ref.c6657a cor (original)"/>
    <s v="HP"/>
    <s v="HP 5652"/>
    <s v="Original"/>
    <n v="520"/>
    <s v="Não"/>
    <n v="2"/>
    <m/>
    <n v="0"/>
    <m/>
  </r>
  <r>
    <s v="CIM0825"/>
    <s v="ULSVDL"/>
    <x v="7"/>
    <s v="Tinteiro p/imp. Hp 970cxi  c6578d (original)"/>
    <s v="HP"/>
    <s v="HP DESKJET 6122"/>
    <s v="Original"/>
    <n v="500"/>
    <s v="Não"/>
    <n v="8"/>
    <m/>
    <n v="0"/>
    <m/>
  </r>
  <r>
    <s v="CIM0827"/>
    <s v="ULSVDL"/>
    <x v="7"/>
    <s v="Tinteiro p/imp. Hp cb336ee nº 350xl preto (original)"/>
    <s v="HP"/>
    <s v="HP DESKJET D4260"/>
    <s v="Original"/>
    <n v="1000"/>
    <s v="Sim"/>
    <n v="5"/>
    <m/>
    <n v="0"/>
    <m/>
  </r>
  <r>
    <s v="CIM0829"/>
    <s v="ULSVDL"/>
    <x v="7"/>
    <s v="Tinteiro p/imp. Hp cb338ee nº351xl cor (original)"/>
    <s v="HP"/>
    <s v="HP DESKJET D4260"/>
    <s v="Original"/>
    <n v="580"/>
    <s v="Sim"/>
    <n v="4"/>
    <m/>
    <n v="0"/>
    <m/>
  </r>
  <r>
    <s v="CIM0831"/>
    <s v="ULSVDL"/>
    <x v="7"/>
    <s v="Tinteiro p/imp. Hp ref.51645a (original)"/>
    <s v="HP"/>
    <s v="HP DESKJET 6122"/>
    <s v="Original"/>
    <n v="500"/>
    <s v="Não"/>
    <n v="8"/>
    <m/>
    <n v="0"/>
    <m/>
  </r>
  <r>
    <s v="CIM0826"/>
    <s v="ULSVDL"/>
    <x v="7"/>
    <s v="Tinteiro p/imp. Hp ref.c8767 preto (339) (original)"/>
    <s v="HP"/>
    <s v="HP DESKJET 6940"/>
    <s v="Original"/>
    <n v="560"/>
    <s v="Sim"/>
    <n v="120"/>
    <m/>
    <n v="0"/>
    <m/>
  </r>
  <r>
    <s v="CIM0824"/>
    <s v="ULSVDL"/>
    <x v="7"/>
    <s v="Tinteiro p/imp. Hp ref.c9363 cor (344) (original)"/>
    <s v="HP"/>
    <s v="HP DESKJET 6940"/>
    <s v="Original"/>
    <n v="560"/>
    <s v="Não"/>
    <n v="80"/>
    <m/>
    <n v="0"/>
    <m/>
  </r>
  <r>
    <s v="CIM0832"/>
    <s v="ULSVDL"/>
    <x v="7"/>
    <s v="Tinteiro p/imp. Hpc6615d preto (original)"/>
    <s v="HP"/>
    <s v="HP DESKJET 6122"/>
    <s v="Original"/>
    <n v="500"/>
    <s v="Não"/>
    <n v="2"/>
    <m/>
    <n v="0"/>
    <m/>
  </r>
  <r>
    <s v="CIM0837"/>
    <s v="ULSVDL"/>
    <x v="7"/>
    <s v="Toner hp laserjet 203x pro m254 amarelo (cf542x) (original)"/>
    <s v="HP"/>
    <s v="HP PRO M254"/>
    <s v="Original"/>
    <n v="2500"/>
    <s v="Sim"/>
    <n v="4"/>
    <m/>
    <n v="0"/>
    <m/>
  </r>
  <r>
    <s v="CIM0838"/>
    <s v="ULSVDL"/>
    <x v="7"/>
    <s v="Toner hp laserjet 203x pro m254 azul (cf541x)(original"/>
    <s v="HP"/>
    <s v="HP PRO M254"/>
    <s v="Original"/>
    <n v="2500"/>
    <s v="Sim"/>
    <n v="4"/>
    <m/>
    <n v="0"/>
    <m/>
  </r>
  <r>
    <s v="CIM0839"/>
    <s v="ULSVDL"/>
    <x v="7"/>
    <s v="Toner hp laserjet 203x pro m254 magenta (cf543x) (original)"/>
    <s v="HP"/>
    <s v="HP PRO M254"/>
    <s v="Original"/>
    <n v="2500"/>
    <s v="Sim"/>
    <n v="3"/>
    <m/>
    <n v="0"/>
    <m/>
  </r>
  <r>
    <s v="CIM0836"/>
    <s v="ULSVDL"/>
    <x v="7"/>
    <s v="Toner hp laserjet 203x pro m254 preto (cf540x) (oroginal)"/>
    <s v="HP"/>
    <s v="HP PRO M254"/>
    <s v="Original"/>
    <n v="3200"/>
    <s v="Sim"/>
    <n v="4"/>
    <m/>
    <n v="0"/>
    <m/>
  </r>
  <r>
    <s v="CIM0852"/>
    <s v="ULSVDL"/>
    <x v="7"/>
    <s v="Toner hp laserjet 415a pro m545 amarelo (w2032x)"/>
    <s v="HP"/>
    <s v="HP PRO M545"/>
    <s v="Original"/>
    <n v="6000"/>
    <s v="Sim"/>
    <n v="15"/>
    <m/>
    <n v="0"/>
    <m/>
  </r>
  <r>
    <s v="CIM0853"/>
    <s v="ULSVDL"/>
    <x v="7"/>
    <s v="Toner hp laserjet 415a pro m545 azul (w2031x)"/>
    <s v="HP"/>
    <s v="HP PRO M545"/>
    <s v="Original"/>
    <n v="6000"/>
    <s v="Sim"/>
    <n v="10"/>
    <m/>
    <n v="0"/>
    <m/>
  </r>
  <r>
    <s v="CIM0854"/>
    <s v="ULSVDL"/>
    <x v="7"/>
    <s v="Toner hp laserjet 415a pro m545 magenta (w2033x)"/>
    <s v="HP"/>
    <s v="HP PRO M545"/>
    <s v="Original"/>
    <n v="6000"/>
    <s v="Sim"/>
    <n v="10"/>
    <m/>
    <n v="0"/>
    <m/>
  </r>
  <r>
    <s v="CIM0846"/>
    <s v="ULSVDL"/>
    <x v="7"/>
    <s v="Toner hp laserjet 415a pro m545 preto (w2030x)"/>
    <s v="HP"/>
    <s v="HP PRO M545"/>
    <s v="Original"/>
    <n v="6000"/>
    <s v="Sim"/>
    <n v="20"/>
    <m/>
    <n v="0"/>
    <m/>
  </r>
  <r>
    <s v="CIM0844"/>
    <s v="ULSVDL"/>
    <x v="7"/>
    <s v="Toner p/ imp. Hp laser jet pro 400/m401 ref.cf280x"/>
    <s v="HP"/>
    <s v="HP PRO 400/M401"/>
    <s v="Original"/>
    <n v="6900"/>
    <s v="Sim"/>
    <n v="60"/>
    <m/>
    <n v="0"/>
    <m/>
  </r>
  <r>
    <s v="CIM0821"/>
    <s v="ULSVDL"/>
    <x v="7"/>
    <s v="Toner p/imp. H.p. Laser jet 2015 dn q7553x"/>
    <s v="HP"/>
    <s v="HP 2015 DN"/>
    <s v="Original"/>
    <n v="7000"/>
    <s v="Sim"/>
    <n v="200"/>
    <m/>
    <n v="0"/>
    <m/>
  </r>
  <r>
    <s v="CIM0845"/>
    <s v="ULSVDL"/>
    <x v="7"/>
    <s v="Toner p/imp. Hp (ref.ª ce 505a)  preto (original)"/>
    <s v="HP"/>
    <s v="HP "/>
    <s v="Original"/>
    <n v="2300"/>
    <s v="Não"/>
    <n v="320"/>
    <m/>
    <n v="0"/>
    <m/>
  </r>
  <r>
    <s v="CIM0851"/>
    <s v="ULSVDL"/>
    <x v="7"/>
    <s v="Toner p/imp. Hp laser jet p3010/3015 nº ce255x- preto (original)"/>
    <s v="HP"/>
    <s v="HP P3010/3015"/>
    <s v="Original"/>
    <n v="6000"/>
    <s v="Sim"/>
    <n v="60"/>
    <m/>
    <n v="0"/>
    <m/>
  </r>
  <r>
    <s v="CIM0828"/>
    <s v="ULSVDL"/>
    <x v="7"/>
    <s v="Toner p/imp. Laser jet pro 300/400 hpce 410x nº305x-preto (original)"/>
    <s v="HP"/>
    <s v="HP PRO 300/400"/>
    <s v="Original"/>
    <n v="4000"/>
    <s v="Sim"/>
    <n v="4"/>
    <m/>
    <n v="0"/>
    <m/>
  </r>
  <r>
    <s v="CIM0835"/>
    <s v="ULSVDL"/>
    <x v="7"/>
    <s v="Toner p/imp. Laser jet pro 300/400 hpce 411a nº305x (azul) original"/>
    <s v="HP"/>
    <s v="HP PRO 300/400"/>
    <s v="Original"/>
    <n v="2601"/>
    <s v="Não"/>
    <n v="3"/>
    <m/>
    <n v="0"/>
    <m/>
  </r>
  <r>
    <s v="CIM0833"/>
    <s v="ULSVDL"/>
    <x v="7"/>
    <s v="Toner p/imp. Laser jet pro 300/400 hpce 412a nº305x (amarelo) original"/>
    <s v="HP"/>
    <s v="HP PRO 300/400"/>
    <s v="Original"/>
    <n v="2600"/>
    <s v="Não"/>
    <n v="5"/>
    <m/>
    <n v="0"/>
    <m/>
  </r>
  <r>
    <s v="CIM0834"/>
    <s v="ULSVDL"/>
    <x v="7"/>
    <s v="Toner p/imp. Laser jet pro 300/400 hpce 413a nº305x (magenta) origina"/>
    <s v="HP"/>
    <s v="HP PRO 300/400"/>
    <s v="Original"/>
    <n v="2600"/>
    <s v="Não"/>
    <n v="5"/>
    <m/>
    <n v="0"/>
    <m/>
  </r>
  <r>
    <s v="CIM0847"/>
    <s v="ULSVDL"/>
    <x v="7"/>
    <s v="Toner p/imp. Laser jet pro 452  hpcf 411x - azul (original)"/>
    <s v="HP"/>
    <s v="HP PRO 452"/>
    <s v="Original"/>
    <n v="5000"/>
    <s v="Sim"/>
    <n v="2"/>
    <m/>
    <n v="0"/>
    <m/>
  </r>
  <r>
    <s v="CIM0842"/>
    <s v="ULSVDL"/>
    <x v="7"/>
    <s v="Toner p/imp. Laser jet pro 452 hpcf 410x - preto (original"/>
    <s v="HP"/>
    <s v="HP PRO 452"/>
    <s v="Original"/>
    <n v="6500"/>
    <s v="Sim"/>
    <n v="2"/>
    <m/>
    <n v="0"/>
    <m/>
  </r>
  <r>
    <s v="CIM0848"/>
    <s v="ULSVDL"/>
    <x v="7"/>
    <s v="Toner p/imp. Laser jet pro 452 hpcf 412x - amarelo (original)"/>
    <s v="HP"/>
    <s v="HP PRO 452"/>
    <s v="Original"/>
    <n v="5000"/>
    <s v="Sim"/>
    <n v="2"/>
    <m/>
    <n v="0"/>
    <m/>
  </r>
  <r>
    <s v="CIM0849"/>
    <s v="ULSVDL"/>
    <x v="7"/>
    <s v="Toner p/imp. Laser jet pro 452 hpcf 413x - magenta (original)"/>
    <s v="HP"/>
    <s v="HP PRO 452"/>
    <s v="Original"/>
    <n v="5000"/>
    <s v="Sim"/>
    <n v="2"/>
    <m/>
    <n v="0"/>
    <m/>
  </r>
  <r>
    <s v="CIM0843"/>
    <s v="ULSVDL"/>
    <x v="7"/>
    <s v="Toner p/impressora hp laserjet pro m402 dn ref. Hpcf226x (original)"/>
    <s v="HP"/>
    <s v="HP PRO M402"/>
    <s v="Original"/>
    <n v="9000"/>
    <s v="Sim"/>
    <n v="100"/>
    <m/>
    <n v="0"/>
    <m/>
  </r>
  <r>
    <s v="CIM0840"/>
    <s v="ULSVDL"/>
    <x v="7"/>
    <s v="Toner p/impressora hp laserjet pro m404 dn ref. Cf259a (original)"/>
    <s v="HP"/>
    <s v="HP PRO M404"/>
    <s v="Original"/>
    <n v="10000"/>
    <s v="Sim"/>
    <n v="320"/>
    <m/>
    <n v="0"/>
    <m/>
  </r>
  <r>
    <s v="CIM 1629"/>
    <s v="ULSAS"/>
    <x v="8"/>
    <s v="Toner IMPRES HP LASERJET 2055/PRO400 505X"/>
    <s v="HP"/>
    <s v="HP LASERJET 2055/PRO400"/>
    <s v="Reciclado"/>
    <m/>
    <s v="Sim"/>
    <n v="40"/>
    <m/>
    <n v="0"/>
    <m/>
  </r>
  <r>
    <s v="CIM 1630"/>
    <s v="ULSAS"/>
    <x v="8"/>
    <s v="Toner IMPRES HP LASERJET PRO M 402DN 226X"/>
    <s v="HP"/>
    <s v="HP LASERJET PRO M 402DN"/>
    <s v="Reciclado"/>
    <m/>
    <s v="Sim"/>
    <n v="80"/>
    <m/>
    <n v="0"/>
    <m/>
  </r>
  <r>
    <s v="CIM 1735"/>
    <s v="ULSG"/>
    <x v="8"/>
    <s v="Toner 1566/1606 hp"/>
    <s v="HP"/>
    <s v="1566/1606"/>
    <s v="Reciclado"/>
    <m/>
    <s v="Não"/>
    <n v="30"/>
    <m/>
    <n v="0"/>
    <m/>
  </r>
  <r>
    <s v="CIM 1736"/>
    <s v="ULSG"/>
    <x v="8"/>
    <s v="Toner p/Impressora hp laserjet pro 400 / m 401 dn"/>
    <s v="HP"/>
    <s v="LASERJET PRO 400 / M 401 DN"/>
    <s v="Reciclado"/>
    <s v="Sim"/>
    <s v="Sim"/>
    <n v="10"/>
    <m/>
    <n v="0"/>
    <m/>
  </r>
  <r>
    <s v="CIM 1763"/>
    <s v="ULSM"/>
    <x v="8"/>
    <s v="Tinteiro Amarelo hp office jet 8100"/>
    <s v="HP"/>
    <s v="951XL M"/>
    <s v="Reciclado"/>
    <s v="27 ml"/>
    <s v="Sim"/>
    <n v="2"/>
    <m/>
    <n v="0"/>
    <m/>
  </r>
  <r>
    <s v="CIM 1764"/>
    <s v="ULSM"/>
    <x v="8"/>
    <s v="Tinteiro Magenta hp office jet 8100"/>
    <s v="HP"/>
    <s v="951XL A"/>
    <s v="Reciclado"/>
    <s v="27 ml"/>
    <s v="Sim"/>
    <n v="2"/>
    <m/>
    <n v="0"/>
    <m/>
  </r>
  <r>
    <s v="CIM 1765"/>
    <s v="ULSM"/>
    <x v="8"/>
    <s v="Tinteiro Preto hp office jet 8100"/>
    <s v="HP"/>
    <s v="950 XL "/>
    <s v="Reciclado"/>
    <s v="53 ml"/>
    <s v="Sim"/>
    <n v="2"/>
    <m/>
    <n v="0"/>
    <m/>
  </r>
  <r>
    <s v="CIM 1768"/>
    <s v="ULSO"/>
    <x v="8"/>
    <s v="Toner HP 1005"/>
    <s v="HP"/>
    <n v="1005"/>
    <s v="Reciclado"/>
    <m/>
    <s v="Não"/>
    <n v="9"/>
    <m/>
    <n v="0"/>
    <s v="CB436A"/>
  </r>
  <r>
    <s v="CIM 1809"/>
    <s v="ULSPVVC"/>
    <x v="8"/>
    <s v="Toner ce250a - Preto hp"/>
    <s v="HP"/>
    <s v=" Laserjet CP3525, CM3530"/>
    <s v="Reciclado"/>
    <n v="3000"/>
    <s v="Sim"/>
    <n v="5"/>
    <m/>
    <n v="0"/>
    <m/>
  </r>
  <r>
    <s v="CIM 1810"/>
    <s v="ULSPVVC"/>
    <x v="8"/>
    <s v="Toner ce252a - Amarelo hp"/>
    <s v="HP"/>
    <s v=" Laserjet CP3525, CM3530"/>
    <s v="Reciclado"/>
    <n v="3000"/>
    <s v="Sim"/>
    <n v="3"/>
    <m/>
    <n v="0"/>
    <m/>
  </r>
  <r>
    <s v="CIM 1811"/>
    <s v="ULSPVVC"/>
    <x v="8"/>
    <s v="Toner ce253a - Magenta hp"/>
    <s v="HP"/>
    <s v=" Laserjet CP3525, CM3530"/>
    <s v="Reciclado"/>
    <n v="3000"/>
    <s v="Sim"/>
    <n v="3"/>
    <m/>
    <n v="0"/>
    <m/>
  </r>
  <r>
    <s v="CIM 1812"/>
    <s v="ULSPVVC"/>
    <x v="8"/>
    <s v="Toner hp ce251a - Azul"/>
    <s v="HP"/>
    <s v=" Laserjet CP3525, CM3530"/>
    <s v="Reciclado"/>
    <n v="3000"/>
    <s v="Sim"/>
    <n v="3"/>
    <m/>
    <n v="0"/>
    <m/>
  </r>
  <r>
    <s v="CIM 1813"/>
    <s v="ULSPVVC"/>
    <x v="8"/>
    <s v="Toner impr hp laserjet q5949a"/>
    <s v="HP"/>
    <s v="Laserjet 1160/1320"/>
    <s v="Reciclado"/>
    <s v="N/A"/>
    <s v="Sim"/>
    <n v="3"/>
    <m/>
    <n v="0"/>
    <s v="49A"/>
  </r>
  <r>
    <s v="CIM 1814"/>
    <s v="ULSPVVC"/>
    <x v="8"/>
    <s v="Toner q7553a - Preto"/>
    <s v="HP"/>
    <s v="P2015"/>
    <s v="Reciclado"/>
    <s v="Sim"/>
    <s v="Não"/>
    <n v="4"/>
    <m/>
    <n v="0"/>
    <m/>
  </r>
  <r>
    <s v="CIM 1847"/>
    <s v="ULSRA"/>
    <x v="8"/>
    <s v="Toner hp 05a p2035/p2055 (ce505a) - Preto"/>
    <s v="HP"/>
    <s v="P2035/P2055"/>
    <s v="Reciclado"/>
    <n v="2300"/>
    <s v="Não"/>
    <n v="200"/>
    <m/>
    <n v="0"/>
    <m/>
  </r>
  <r>
    <s v="CIM 1848"/>
    <s v="ULSRA"/>
    <x v="8"/>
    <s v="Toner hp 12a -1010/1012/1015/1018/3050/3055 (q2612a) - Preto"/>
    <s v="HP"/>
    <s v="1010/1012/1015/1018/3050/3055"/>
    <s v="Reciclado"/>
    <n v="2000"/>
    <s v="Não"/>
    <n v="100"/>
    <m/>
    <n v="0"/>
    <m/>
  </r>
  <r>
    <s v="CIM 1849"/>
    <s v="ULSRA"/>
    <x v="8"/>
    <s v="Toner hp 53x - p2014/p2015/m2727 (q7553x) - Preto"/>
    <s v="HP"/>
    <s v="P2014/P2015/M2727"/>
    <s v="Reciclado"/>
    <n v="7000"/>
    <s v="Não"/>
    <n v="175"/>
    <m/>
    <n v="0"/>
    <m/>
  </r>
  <r>
    <s v="CIM1295"/>
    <s v="ULSAA"/>
    <x v="8"/>
    <s v="Tinteiro hp deskjet 78 cores ref.6578 de"/>
    <s v="HP"/>
    <s v="Deskjet  6122"/>
    <s v="Reciclado"/>
    <s v="39 ml"/>
    <s v="Não"/>
    <n v="6"/>
    <m/>
    <n v="0"/>
    <m/>
  </r>
  <r>
    <s v="CIM1293"/>
    <s v="ULSAA"/>
    <x v="8"/>
    <s v="Tinteiro imp.hp/45 preto ref 51645ae"/>
    <s v="HP"/>
    <s v="Deskjet  6122"/>
    <s v="Reciclado"/>
    <s v="40 ml"/>
    <s v="Não"/>
    <n v="6"/>
    <m/>
    <n v="0"/>
    <m/>
  </r>
  <r>
    <s v="CIM1282"/>
    <s v="ULSAA"/>
    <x v="8"/>
    <s v="Toner p/impressora hp laserjet 1022n (rf.q2612a)"/>
    <s v="HP"/>
    <s v="1022N"/>
    <s v="Reciclado"/>
    <s v="2 000 pág."/>
    <s v="Não"/>
    <n v="25"/>
    <m/>
    <n v="0"/>
    <m/>
  </r>
  <r>
    <s v="CIM1552"/>
    <s v="ULSAM "/>
    <x v="8"/>
    <s v="Toner impressora HP cb436 a - 36a                                  "/>
    <s v="HP"/>
    <m/>
    <s v="Reciclado"/>
    <m/>
    <m/>
    <n v="30"/>
    <m/>
    <n v="0"/>
    <m/>
  </r>
  <r>
    <s v="CIM1556"/>
    <s v="ULSAM "/>
    <x v="8"/>
    <s v="Toner impressora HP ce505a - 05 a preto                            "/>
    <s v="HP"/>
    <s v="Laserjet P2055d"/>
    <s v="Reciclado"/>
    <m/>
    <m/>
    <n v="1200"/>
    <m/>
    <n v="0"/>
    <m/>
  </r>
  <r>
    <s v="CIM1561"/>
    <s v="ULSAM "/>
    <x v="8"/>
    <s v="Toner impressora HP cf280a - 80 a                                  "/>
    <s v="HP"/>
    <s v="Laserjet Pro 400 M401 Dn"/>
    <s v="Reciclado"/>
    <m/>
    <m/>
    <n v="400"/>
    <m/>
    <n v="0"/>
    <m/>
  </r>
  <r>
    <s v="CIM1544"/>
    <s v="ULSAM "/>
    <x v="8"/>
    <s v="Toner impressora HP q2612 a                                        "/>
    <s v="HP"/>
    <m/>
    <s v="Reciclado"/>
    <m/>
    <m/>
    <n v="700"/>
    <m/>
    <n v="0"/>
    <m/>
  </r>
  <r>
    <s v="CIM1543"/>
    <s v="ULSAM "/>
    <x v="8"/>
    <s v="Toner impressora HP q2613 a - 13a preto                            "/>
    <s v="HP"/>
    <m/>
    <s v="Reciclado"/>
    <m/>
    <m/>
    <n v="7"/>
    <m/>
    <n v="0"/>
    <m/>
  </r>
  <r>
    <s v="CIM1548"/>
    <s v="ULSAM "/>
    <x v="8"/>
    <s v="Toner impressora HP q7553 a                                        "/>
    <s v="HP"/>
    <m/>
    <s v="Reciclado"/>
    <m/>
    <m/>
    <n v="200"/>
    <m/>
    <n v="0"/>
    <m/>
  </r>
  <r>
    <s v="CIM1560"/>
    <s v="ULSAM "/>
    <x v="8"/>
    <s v="Toner multifunções HP ce285a 85 a preto                             "/>
    <s v="HP"/>
    <s v="Laserjet Pro Serie M1212nf"/>
    <s v="Reciclado"/>
    <m/>
    <m/>
    <n v="400"/>
    <m/>
    <n v="0"/>
    <m/>
  </r>
  <r>
    <s v="CIM1571"/>
    <s v="ULSAM "/>
    <x v="8"/>
    <s v="Toner multifunções HP cf217a - 17a                                  "/>
    <s v="HP"/>
    <s v="Laserjet Pro MFP M130FW E Laserjet PRO M102W"/>
    <s v="Reciclado"/>
    <m/>
    <m/>
    <n v="170"/>
    <m/>
    <n v="0"/>
    <m/>
  </r>
  <r>
    <s v="CIM1563"/>
    <s v="ULSAM "/>
    <x v="8"/>
    <s v="Toner multifunções HP cf283a - 83a                                  "/>
    <s v="HP"/>
    <s v="Laserjet Pro MFP 127 fw"/>
    <s v="Reciclado"/>
    <m/>
    <m/>
    <n v="70"/>
    <m/>
    <n v="0"/>
    <m/>
  </r>
  <r>
    <s v="CIM0224"/>
    <s v="ULSCBeira"/>
    <x v="8"/>
    <s v="Toner preto ref. Q2612a"/>
    <s v="HP"/>
    <s v="HP LASERJET M1319G "/>
    <s v="Reciclado"/>
    <m/>
    <s v="Sim"/>
    <n v="130"/>
    <m/>
    <n v="0"/>
    <m/>
  </r>
  <r>
    <s v="CIM0223"/>
    <s v="ULSCBeira"/>
    <x v="8"/>
    <s v="Toner preto ref. Q5949x-q7553x"/>
    <s v="HP"/>
    <s v="HP LAZERJET 1320-2015"/>
    <s v="Reciclado"/>
    <m/>
    <s v="Sim"/>
    <n v="4"/>
    <m/>
    <n v="0"/>
    <m/>
  </r>
  <r>
    <s v="CIM1225"/>
    <s v="ULSM"/>
    <x v="8"/>
    <s v="Tinteiro azul hp office jet 8100"/>
    <s v="HP"/>
    <s v="951XL C"/>
    <s v="Reciclado"/>
    <s v="27 ml"/>
    <s v="Sim"/>
    <n v="2"/>
    <m/>
    <n v="0"/>
    <m/>
  </r>
  <r>
    <s v="CIM1238"/>
    <s v="ULSM"/>
    <x v="8"/>
    <s v="Toner impre. - hp color laserjet pro m254nw - hp cf540x"/>
    <s v="HP"/>
    <s v="M254NW"/>
    <s v="Reciclado"/>
    <s v="3 200 pág."/>
    <s v="Sim"/>
    <n v="4"/>
    <m/>
    <n v="0"/>
    <m/>
  </r>
  <r>
    <s v="CIM1244"/>
    <s v="ULSM"/>
    <x v="8"/>
    <s v="Toner impre. Hp laserjet ce/505x - p/2055n"/>
    <s v="HP"/>
    <s v="CE505X"/>
    <s v="Reciclado"/>
    <s v="6 500 pág."/>
    <s v="Sim"/>
    <n v="25"/>
    <m/>
    <n v="0"/>
    <m/>
  </r>
  <r>
    <s v="CIM0768"/>
    <s v="ULSO"/>
    <x v="8"/>
    <s v="Toner 1566/1606 hp"/>
    <s v="HP"/>
    <s v="1566/1606"/>
    <s v="Reciclado"/>
    <m/>
    <s v="Não"/>
    <n v="17"/>
    <m/>
    <n v="0"/>
    <s v="CE278A"/>
  </r>
  <r>
    <s v="CIM0780"/>
    <s v="ULSO"/>
    <x v="8"/>
    <s v="Toner 2015 hp"/>
    <s v="HP"/>
    <n v="2015"/>
    <s v="Reciclado"/>
    <m/>
    <s v="Não"/>
    <n v="23"/>
    <m/>
    <n v="0"/>
    <s v="53A"/>
  </r>
  <r>
    <s v="CIM0805"/>
    <s v="ULSO"/>
    <x v="8"/>
    <s v="Toner 2055 dn  "/>
    <s v="HP"/>
    <s v="2055 DN"/>
    <s v="Reciclado"/>
    <m/>
    <s v="Não"/>
    <n v="17"/>
    <m/>
    <n v="0"/>
    <s v="505X"/>
  </r>
  <r>
    <s v="CIM0803"/>
    <s v="ULSO"/>
    <x v="8"/>
    <s v="Toner laserjet pro 400 mfp m426dn hp"/>
    <s v="HP"/>
    <s v="laserjet Pro 400 MFP M426DN"/>
    <s v="Reciclado"/>
    <m/>
    <s v="Não"/>
    <n v="17"/>
    <m/>
    <n v="0"/>
    <s v="CF226A"/>
  </r>
  <r>
    <s v="CIM0769"/>
    <s v="ULSO"/>
    <x v="8"/>
    <s v="Toner laserjet pro m127 hp"/>
    <s v="HP"/>
    <s v="Laserjet Pro M127"/>
    <s v="Reciclado"/>
    <m/>
    <s v="Não"/>
    <n v="17"/>
    <m/>
    <n v="0"/>
    <s v="CF283A"/>
  </r>
  <r>
    <s v="CIM0793"/>
    <s v="ULSO"/>
    <x v="8"/>
    <s v="Toner preto laserjet 1010 hp"/>
    <s v="HP"/>
    <s v="Laserjet 1010"/>
    <s v="Reciclado"/>
    <m/>
    <s v="Não"/>
    <n v="30"/>
    <m/>
    <n v="0"/>
    <s v="Q2612A"/>
  </r>
  <r>
    <s v="CIM0788"/>
    <s v="ULSO"/>
    <x v="8"/>
    <s v="Toner preto laserjet p2015 hp"/>
    <s v="HP"/>
    <s v="Laserjet P2015"/>
    <s v="Reciclado"/>
    <m/>
    <s v="Não"/>
    <n v="17"/>
    <m/>
    <n v="0"/>
    <s v="Q7553X"/>
  </r>
  <r>
    <s v="CIM0802"/>
    <s v="ULSO"/>
    <x v="8"/>
    <s v="Toner preto laserjet p2055 dn hp"/>
    <s v="HP"/>
    <s v="Laserjet P2055 DN"/>
    <s v="Reciclado"/>
    <m/>
    <s v="Não"/>
    <n v="25"/>
    <m/>
    <n v="0"/>
    <s v="505A"/>
  </r>
  <r>
    <s v="CIM1436"/>
    <s v="ULSPVVC"/>
    <x v="8"/>
    <s v="Toner p/Hplaserjet  P2055/Canon LBP6310 Ref. 505 A"/>
    <s v="HP"/>
    <s v="HP P2055DN"/>
    <s v="Reciclado"/>
    <s v="Sim"/>
    <s v="Não"/>
    <n v="600"/>
    <m/>
    <n v="0"/>
    <m/>
  </r>
  <r>
    <s v="CIM1451"/>
    <s v="ULSSA"/>
    <x v="8"/>
    <s v="Toner hp (q5949x)"/>
    <s v="HP"/>
    <s v="DESKJET/OFFICEJET/INKJET"/>
    <s v="Reciclado"/>
    <s v="Sim"/>
    <s v="Sim"/>
    <n v="20"/>
    <m/>
    <n v="0"/>
    <n v="522204625"/>
  </r>
  <r>
    <s v="CIM1450"/>
    <s v="ULSSA"/>
    <x v="8"/>
    <s v="Toner hp 12a (q2612a)"/>
    <s v="HP"/>
    <s v="DESKJET/OFFICEJET/INKJET"/>
    <s v="Reciclado"/>
    <s v="Sim"/>
    <s v="Sim"/>
    <n v="75"/>
    <m/>
    <n v="0"/>
    <n v="522204636"/>
  </r>
  <r>
    <s v="CIM1453"/>
    <s v="ULSSA"/>
    <x v="8"/>
    <s v="Toner hp 53a preto (q7553a)"/>
    <s v="HP"/>
    <m/>
    <s v="Reciclado"/>
    <s v="Sim"/>
    <s v="Sim"/>
    <n v="75"/>
    <m/>
    <n v="0"/>
    <n v="522204631"/>
  </r>
  <r>
    <s v="CIM1454"/>
    <s v="ULSSA"/>
    <x v="8"/>
    <s v="Toner hp laserjet p2015 (q7553x)"/>
    <s v="HP"/>
    <s v="P2015"/>
    <s v="Reciclado"/>
    <s v="Sim"/>
    <s v="Sim"/>
    <n v="20"/>
    <m/>
    <n v="0"/>
    <n v="522204635"/>
  </r>
  <r>
    <s v="CIM1470"/>
    <s v="ULSSA"/>
    <x v="8"/>
    <s v="TONER HP P/ IMP. CE505A (RECICLADO)"/>
    <s v="HP"/>
    <m/>
    <s v="Reciclado"/>
    <m/>
    <s v="Não"/>
    <n v="750"/>
    <m/>
    <n v="0"/>
    <n v="522204632"/>
  </r>
  <r>
    <s v="CIM1471"/>
    <s v="ULSSA"/>
    <x v="8"/>
    <s v="TONER HP P/ IMP. Q2613 X"/>
    <s v="HP"/>
    <s v="DESKJET/OFFICEJET/INKJET"/>
    <s v="Reciclado"/>
    <m/>
    <s v="Não"/>
    <n v="5"/>
    <m/>
    <n v="0"/>
    <n v="522204516"/>
  </r>
  <r>
    <s v="CIM1472"/>
    <s v="ULSSA"/>
    <x v="8"/>
    <s v="TONER HP PRETO P/A IMP. CF280A (80X) - RECICLADO"/>
    <s v="HP"/>
    <m/>
    <s v="Reciclado"/>
    <m/>
    <s v="Não"/>
    <n v="25"/>
    <m/>
    <n v="0"/>
    <n v="522204667"/>
  </r>
  <r>
    <s v="CIM1449"/>
    <s v="ULSSA"/>
    <x v="8"/>
    <s v="Toner p/impressora hp c5949a"/>
    <s v="HP"/>
    <s v="DESKJET/OFFICEJET/INKJET"/>
    <s v="Reciclado"/>
    <s v="Sim"/>
    <s v="Sim"/>
    <n v="25"/>
    <m/>
    <n v="0"/>
    <n v="522204624"/>
  </r>
  <r>
    <s v="CIM 1621"/>
    <s v="ULSAC"/>
    <x v="9"/>
    <s v="Recipiente Residuos KONICA C300I (AAVA041) WX 107 ( CENTROS SAUde)              "/>
    <s v="KONICA"/>
    <s v="C300i"/>
    <s v="Original"/>
    <m/>
    <s v="Não"/>
    <n v="23"/>
    <m/>
    <n v="0"/>
    <m/>
  </r>
  <r>
    <s v="CIM 1622"/>
    <s v="ULSAC"/>
    <x v="9"/>
    <s v="Toner KONICA C300I (AAV8150) TN-328 Preto (CENTROS SAUde)                       "/>
    <s v="KONICA"/>
    <s v="C300i"/>
    <s v="Original"/>
    <m/>
    <s v="Não"/>
    <n v="47"/>
    <m/>
    <n v="0"/>
    <m/>
  </r>
  <r>
    <s v="CIM 1623"/>
    <s v="ULSAC"/>
    <x v="9"/>
    <s v="Toner KONICA C300I (AAV8350) TN-328 Magenta (CENTROS SAUde)                     "/>
    <s v="KONICA"/>
    <s v="C300i"/>
    <s v="Original"/>
    <m/>
    <s v="Não"/>
    <n v="47"/>
    <m/>
    <n v="0"/>
    <m/>
  </r>
  <r>
    <s v="CIM 1780"/>
    <s v="ULSO"/>
    <x v="9"/>
    <s v="Toner Amarelo c4050i/c3350i konica"/>
    <s v="KONICA"/>
    <s v="C4050I/C3350I"/>
    <s v="Original"/>
    <m/>
    <s v="Não"/>
    <n v="14"/>
    <m/>
    <n v="0"/>
    <m/>
  </r>
  <r>
    <s v="CIM 1781"/>
    <s v="ULSO"/>
    <x v="9"/>
    <s v="Toner Preto c4050i/c3350i konica"/>
    <s v="KONICA"/>
    <s v="C4050I/C3350I"/>
    <s v="Original"/>
    <m/>
    <s v="Não"/>
    <n v="29"/>
    <m/>
    <n v="0"/>
    <m/>
  </r>
  <r>
    <s v="CIM0026"/>
    <s v="ULSAC"/>
    <x v="9"/>
    <s v="Caixa de residuos Konica Minolta BizHub mod C3320i - WB- PO8"/>
    <s v="KONICA"/>
    <s v="C3320i"/>
    <s v="Original"/>
    <s v="36 000 pág."/>
    <s v="Sim"/>
    <n v="48"/>
    <m/>
    <n v="0"/>
    <m/>
  </r>
  <r>
    <s v="CIM0025"/>
    <s v="ULSAC"/>
    <x v="9"/>
    <s v="Tambor Konica Minolta BizHub mod C3320i - AMARELO - IUP 36 Y"/>
    <s v="KONICA"/>
    <s v="C3320i"/>
    <s v="Original"/>
    <s v="100 000 pág."/>
    <s v="Sim"/>
    <n v="15"/>
    <m/>
    <n v="0"/>
    <m/>
  </r>
  <r>
    <s v="CIM0023"/>
    <s v="ULSAC"/>
    <x v="9"/>
    <s v="Tambor Konica Minolta BizHub mod C3320i - AZUL - IUP 36 C"/>
    <s v="KONICA"/>
    <s v="C3320i"/>
    <s v="Original"/>
    <s v="100 000 pág."/>
    <s v="Sim"/>
    <n v="15"/>
    <m/>
    <n v="0"/>
    <m/>
  </r>
  <r>
    <s v="CIM0024"/>
    <s v="ULSAC"/>
    <x v="9"/>
    <s v="Tambor Konica Minolta BizHub mod C3320i - MAGENTA - IUP 36 M"/>
    <s v="KONICA"/>
    <s v="C3320i"/>
    <s v="Original"/>
    <s v="100 000 pág."/>
    <s v="Sim"/>
    <n v="15"/>
    <m/>
    <n v="0"/>
    <m/>
  </r>
  <r>
    <s v="CIM0022"/>
    <s v="ULSAC"/>
    <x v="9"/>
    <s v="Tambor Konica Minolta BizHub mod C3320i - PRETO - IUP 36 K"/>
    <s v="KONICA"/>
    <s v="C3320i"/>
    <s v="Original"/>
    <s v="200 000 pág."/>
    <s v="Sim"/>
    <n v="15"/>
    <m/>
    <n v="0"/>
    <m/>
  </r>
  <r>
    <s v="CIM0014"/>
    <s v="ULSAC"/>
    <x v="9"/>
    <s v="Toner Konica C300i - ref AAV8250 - TN-328 Y"/>
    <s v="KONICA"/>
    <s v="C300i"/>
    <s v="Original"/>
    <s v="28 000 pág."/>
    <s v="Sim"/>
    <n v="40"/>
    <m/>
    <n v="0"/>
    <m/>
  </r>
  <r>
    <s v="CIM0016"/>
    <s v="ULSAC"/>
    <x v="9"/>
    <s v="Toner konica C300i - ref AAV8450 - TN-328 C"/>
    <s v="KONICA"/>
    <s v="C300i"/>
    <s v="Original"/>
    <s v="2 800 Pág."/>
    <s v="Sim"/>
    <n v="40"/>
    <m/>
    <n v="0"/>
    <m/>
  </r>
  <r>
    <s v="CIM0021"/>
    <s v="ULSAC"/>
    <x v="9"/>
    <s v="Toner konica mod.C3320 AMARELO - TNP80 Y"/>
    <s v="KONICA"/>
    <s v="C3320i"/>
    <s v="Original"/>
    <s v="9 000 pág."/>
    <s v="Sim"/>
    <n v="46"/>
    <m/>
    <n v="0"/>
    <m/>
  </r>
  <r>
    <s v="CIM0019"/>
    <s v="ULSAC"/>
    <x v="9"/>
    <s v="Toner konica mod.C3320 AZUL - TNP80 C"/>
    <s v="KONICA"/>
    <s v="C3320i"/>
    <s v="Original"/>
    <s v="9 000 pág."/>
    <s v="Sim"/>
    <n v="46"/>
    <m/>
    <n v="0"/>
    <m/>
  </r>
  <r>
    <s v="CIM0020"/>
    <s v="ULSAC"/>
    <x v="9"/>
    <s v="Toner konica mod.C3320 MAGENTA - TNP80 M"/>
    <s v="KONICA"/>
    <s v="C3320i"/>
    <s v="Original"/>
    <s v="9 000 pág."/>
    <s v="Sim"/>
    <n v="46"/>
    <m/>
    <n v="0"/>
    <m/>
  </r>
  <r>
    <s v="CIM0018"/>
    <s v="ULSAC"/>
    <x v="9"/>
    <s v="Toner konica mod.C3320 PRETO - TNP80 K"/>
    <s v="KONICA"/>
    <s v="C3320i"/>
    <s v="Original"/>
    <s v="13 000 pág."/>
    <s v="Sim"/>
    <n v="40"/>
    <m/>
    <n v="0"/>
    <m/>
  </r>
  <r>
    <s v="CIM1407"/>
    <s v="ULSO"/>
    <x v="9"/>
    <s v="Depósito de resíduos para impressora konica c360i/c300i/c250i"/>
    <s v="KONICA"/>
    <s v="C360i/C300i/C250i"/>
    <s v="Original"/>
    <m/>
    <m/>
    <n v="1"/>
    <m/>
    <n v="0"/>
    <m/>
  </r>
  <r>
    <s v="CIM0782"/>
    <s v="ULSO"/>
    <x v="9"/>
    <s v="Depósito de resíduos para impressora konicac4050i/c3350i"/>
    <s v="KONICA"/>
    <s v="C4050I/C3350I"/>
    <s v="Original"/>
    <m/>
    <s v="Não"/>
    <n v="17"/>
    <m/>
    <n v="0"/>
    <m/>
  </r>
  <r>
    <s v="CIM0812"/>
    <s v="ULSO"/>
    <x v="9"/>
    <s v="Tambor amarelo konica c4050i/c3350i"/>
    <s v="KONICA"/>
    <s v="C4050I/C3350I"/>
    <s v="Original"/>
    <m/>
    <s v="Não"/>
    <n v="3"/>
    <m/>
    <n v="0"/>
    <m/>
  </r>
  <r>
    <s v="CIM0813"/>
    <s v="ULSO"/>
    <x v="9"/>
    <s v="Tambor azul konica c4050i/c3350i"/>
    <s v="KONICA"/>
    <s v="C4050I/C3350I"/>
    <s v="Original"/>
    <m/>
    <s v="Não"/>
    <n v="3"/>
    <m/>
    <n v="0"/>
    <m/>
  </r>
  <r>
    <s v="CIM1405"/>
    <s v="ULSO"/>
    <x v="9"/>
    <s v="Tambor magenta konica c4050i/c3350i"/>
    <s v="KONICA"/>
    <s v="C4050I/C3350I"/>
    <s v="Original"/>
    <m/>
    <s v="Não"/>
    <n v="3"/>
    <m/>
    <n v="0"/>
    <m/>
  </r>
  <r>
    <s v="CIM0815"/>
    <s v="ULSO"/>
    <x v="9"/>
    <s v="Tambor preto konica c4050i/c3350i"/>
    <s v="KONICA"/>
    <s v="C4050I/C3350I"/>
    <s v="Original"/>
    <m/>
    <s v="Não"/>
    <n v="3"/>
    <m/>
    <n v="0"/>
    <m/>
  </r>
  <r>
    <s v="CIM1411"/>
    <s v="ULSO"/>
    <x v="9"/>
    <s v="Toner amarelo c360i/c300i/c250i konica"/>
    <s v="KONICA"/>
    <s v="C360i/C300i/C250i"/>
    <s v="Original"/>
    <m/>
    <m/>
    <n v="1"/>
    <m/>
    <n v="0"/>
    <m/>
  </r>
  <r>
    <s v="CIM0898"/>
    <s v="ULSO"/>
    <x v="9"/>
    <s v="Toner cyan c360i/c300i/c250i konica"/>
    <s v="KONICA"/>
    <s v="C360i/C300i/C250i"/>
    <s v="Original"/>
    <m/>
    <m/>
    <n v="1"/>
    <m/>
    <n v="0"/>
    <m/>
  </r>
  <r>
    <s v="CIM0786"/>
    <s v="ULSO"/>
    <x v="9"/>
    <s v="Toner cyan c4050i/c3350i konica"/>
    <s v="KONICA"/>
    <s v="C4050I/C3350I"/>
    <s v="Original"/>
    <m/>
    <s v="Não"/>
    <n v="14"/>
    <m/>
    <n v="0"/>
    <m/>
  </r>
  <r>
    <s v="CIM1183"/>
    <s v="ULSO"/>
    <x v="9"/>
    <s v="Toner magenta c360i/c300i/c250i konica"/>
    <s v="KONICA"/>
    <s v="C360i/C300i/C250i"/>
    <s v="Original"/>
    <m/>
    <m/>
    <n v="1"/>
    <m/>
    <n v="0"/>
    <m/>
  </r>
  <r>
    <s v="CIM0787"/>
    <s v="ULSO"/>
    <x v="9"/>
    <s v="Toner magenta c4050i/c3350i konica"/>
    <s v="KONICA"/>
    <s v="C4050I/C3350I"/>
    <s v="Original"/>
    <m/>
    <s v="Não"/>
    <n v="14"/>
    <m/>
    <n v="0"/>
    <m/>
  </r>
  <r>
    <s v="CIM0801"/>
    <s v="ULSO"/>
    <x v="9"/>
    <s v="Toner preto c360i/c300i/c250i konica"/>
    <s v="KONICA"/>
    <s v="C360i/C300i/C250i"/>
    <s v="Original"/>
    <m/>
    <s v="Sim"/>
    <n v="2"/>
    <m/>
    <n v="0"/>
    <m/>
  </r>
  <r>
    <s v="CIM 1782"/>
    <s v="ULSO"/>
    <x v="10"/>
    <s v="Tambor KYOCERA Ecosys M2040DN"/>
    <s v="KYOCERA"/>
    <s v="Ecosys M2040DN"/>
    <s v="Original"/>
    <m/>
    <m/>
    <n v="26"/>
    <m/>
    <n v="0"/>
    <m/>
  </r>
  <r>
    <s v="CIM 1783"/>
    <s v="ULSO"/>
    <x v="10"/>
    <s v="Tambor KYOCERA P3145DN"/>
    <s v="KYOCERA"/>
    <s v="P3145DN"/>
    <s v="Original"/>
    <m/>
    <m/>
    <n v="8"/>
    <m/>
    <n v="0"/>
    <m/>
  </r>
  <r>
    <s v="CIM 1784"/>
    <s v="ULSO"/>
    <x v="10"/>
    <s v="Toner KYOCERA Ecosys M2040DN"/>
    <s v="KYOCERA"/>
    <s v="Ecosys M2040DN"/>
    <s v="Original"/>
    <m/>
    <m/>
    <n v="9"/>
    <m/>
    <n v="0"/>
    <s v="TK-1170"/>
  </r>
  <r>
    <s v="CIM 1785"/>
    <s v="ULSO"/>
    <x v="10"/>
    <s v="Toner KYOCERA Ecosys P2235DN "/>
    <s v="KYOCERA"/>
    <s v="Ecosys P2235DN"/>
    <s v="Original"/>
    <m/>
    <m/>
    <n v="27"/>
    <m/>
    <n v="0"/>
    <s v="TK-1160"/>
  </r>
  <r>
    <s v="CIM 1786"/>
    <s v="ULSO"/>
    <x v="10"/>
    <s v="Toner KYOCERA P3145DN"/>
    <s v="KYOCERA"/>
    <s v="P3145DN"/>
    <s v="Original"/>
    <m/>
    <m/>
    <n v="10"/>
    <m/>
    <n v="0"/>
    <s v="TK-3160"/>
  </r>
  <r>
    <s v="CIM 1885"/>
    <s v="ULSSJOSE"/>
    <x v="10"/>
    <s v="Unidade Reveladora Amarelo KYOCERA M5521CDN"/>
    <s v="KYOCERA"/>
    <s v="M5521CDN"/>
    <s v="Original"/>
    <n v="100000"/>
    <s v="N/A"/>
    <n v="1"/>
    <m/>
    <n v="0"/>
    <m/>
  </r>
  <r>
    <s v="CIM 1886"/>
    <s v="ULSSJOSE"/>
    <x v="10"/>
    <s v="Unidade Reveladora Cyan KYOCERA M5521CDN"/>
    <s v="KYOCERA"/>
    <s v="M5521CDN"/>
    <s v="Original"/>
    <n v="100000"/>
    <s v="N/A"/>
    <n v="1"/>
    <m/>
    <n v="0"/>
    <m/>
  </r>
  <r>
    <s v="CIM 1887"/>
    <s v="ULSSJOSE"/>
    <x v="10"/>
    <s v="Unidade Reveladora Magenta KYOCERA M5521CDN"/>
    <s v="KYOCERA"/>
    <s v="M5521CDN"/>
    <s v="Original"/>
    <n v="100000"/>
    <s v="N/A"/>
    <n v="1"/>
    <m/>
    <n v="0"/>
    <m/>
  </r>
  <r>
    <s v="CIM0447"/>
    <s v="ULSSJOSE"/>
    <x v="10"/>
    <s v="Correia de transferencia kyocera m5521cdn"/>
    <s v="KYOCERA"/>
    <s v="M5521CDN"/>
    <s v="Original"/>
    <s v="N/A"/>
    <s v="N/A"/>
    <n v="1"/>
    <m/>
    <n v="0"/>
    <m/>
  </r>
  <r>
    <s v="CIM0445"/>
    <s v="ULSSJOSE"/>
    <x v="10"/>
    <s v="Tambor de imagem kyocera m5521cdn (cor)"/>
    <s v="KYOCERA"/>
    <s v="M5521CDN"/>
    <s v="Original"/>
    <n v="100000"/>
    <s v="N/A"/>
    <n v="1"/>
    <m/>
    <n v="0"/>
    <m/>
  </r>
  <r>
    <s v="CIM0443"/>
    <s v="ULSSJOSE"/>
    <x v="10"/>
    <s v="Tambor de imagem kyocera m5521cdn (preto)"/>
    <s v="KYOCERA"/>
    <s v="M5521CDN"/>
    <s v="Original"/>
    <n v="100000"/>
    <s v="N/A"/>
    <n v="5"/>
    <m/>
    <n v="0"/>
    <m/>
  </r>
  <r>
    <s v="CIM0441"/>
    <s v="ULSSJOSE"/>
    <x v="10"/>
    <s v="Toner amarelo kyocera m5521cdn"/>
    <s v="KYOCERA"/>
    <s v="M5521CDN"/>
    <s v="Original"/>
    <n v="2000"/>
    <s v="Sim"/>
    <n v="74"/>
    <m/>
    <n v="0"/>
    <m/>
  </r>
  <r>
    <s v="CIM0440"/>
    <s v="ULSSJOSE"/>
    <x v="10"/>
    <s v="Toner ciano kyocera m5521cdn                                                    "/>
    <s v="KYOCERA"/>
    <s v="M5521CDN"/>
    <s v="Original"/>
    <n v="2000"/>
    <s v="Sim"/>
    <n v="75"/>
    <m/>
    <n v="0"/>
    <m/>
  </r>
  <r>
    <s v="CIM0438"/>
    <s v="ULSSJOSE"/>
    <x v="10"/>
    <s v="TONER KYOCERA ECOSYS M 2040 DN /M 2540 DN                                       "/>
    <s v="KYOCERA"/>
    <s v="M2540DN"/>
    <s v="Original"/>
    <n v="7000"/>
    <s v="Não"/>
    <n v="155"/>
    <m/>
    <n v="0"/>
    <m/>
  </r>
  <r>
    <s v="CIM0442"/>
    <s v="ULSSJOSE"/>
    <x v="10"/>
    <s v="Toner magenta kyocera m5521cdn"/>
    <s v="KYOCERA"/>
    <s v="M5521CDN"/>
    <s v="Original"/>
    <n v="2000"/>
    <s v="Sim"/>
    <n v="77"/>
    <m/>
    <n v="0"/>
    <m/>
  </r>
  <r>
    <s v="CIM0439"/>
    <s v="ULSSJOSE"/>
    <x v="10"/>
    <s v="Toner preto kyocera m5521cdn                  "/>
    <s v="KYOCERA"/>
    <s v="M5521CDN"/>
    <s v="Original"/>
    <n v="2500"/>
    <s v="Sim"/>
    <n v="111"/>
    <m/>
    <n v="0"/>
    <m/>
  </r>
  <r>
    <s v="CIM0444"/>
    <s v="ULSSJOSE"/>
    <x v="10"/>
    <s v="Unidade reveladora preto kyocera m5521cdn"/>
    <s v="KYOCERA"/>
    <s v="M5521CDN"/>
    <s v="Original"/>
    <n v="100000"/>
    <s v="N/A"/>
    <n v="1"/>
    <m/>
    <n v="0"/>
    <m/>
  </r>
  <r>
    <s v="CIM 1769"/>
    <s v="ULSO"/>
    <x v="11"/>
    <s v="Toner KYOCERA Ecosys P2235DN"/>
    <s v="KYOCERA"/>
    <s v="Ecosys P2235DN"/>
    <s v="Reciclado"/>
    <m/>
    <m/>
    <n v="65"/>
    <m/>
    <n v="0"/>
    <m/>
  </r>
  <r>
    <s v="CIM1235"/>
    <s v="ULSAM "/>
    <x v="11"/>
    <s v="Toner fotocopiadora kyocera tk-1150                                   "/>
    <s v="KYOCERA"/>
    <s v="Ecosys M2135dn"/>
    <s v="Reciclado"/>
    <m/>
    <m/>
    <n v="6"/>
    <m/>
    <n v="0"/>
    <m/>
  </r>
  <r>
    <s v="CIM1235"/>
    <s v="ULSM"/>
    <x v="11"/>
    <s v="Toner kyocera tk-3160 – preto eccossis 3145dn"/>
    <s v="KYOCERA"/>
    <s v="TK-3160"/>
    <s v="Reciclado"/>
    <s v="12 500 pág."/>
    <s v="Sim"/>
    <n v="50"/>
    <m/>
    <n v="0"/>
    <m/>
  </r>
  <r>
    <s v="CIM 1595"/>
    <s v="ICAD"/>
    <x v="12"/>
    <s v="Fotocondutor 55b0za0 lexmark"/>
    <s v="LEXMARK"/>
    <s v="MS331dn"/>
    <s v="Original"/>
    <n v="40000"/>
    <s v="Sim"/>
    <n v="6"/>
    <m/>
    <n v="0"/>
    <m/>
  </r>
  <r>
    <s v="CIM 1596"/>
    <s v="ICAD"/>
    <x v="12"/>
    <s v="Tambor Imagem Impressora LEXMARK MS321/421/621 MX521 60K"/>
    <s v="LEXMARK"/>
    <s v="LEXMARK MS321/421/621 MX521 60K"/>
    <s v="Original"/>
    <m/>
    <s v="Não"/>
    <n v="10"/>
    <m/>
    <n v="0"/>
    <m/>
  </r>
  <r>
    <s v="CIM 1597"/>
    <s v="ICAD"/>
    <x v="12"/>
    <s v="Tambor p/ Impressora ms312dn"/>
    <s v="LEXMARK"/>
    <s v="50F0Z00"/>
    <s v="Original"/>
    <s v="60 000 pág."/>
    <s v="Sim"/>
    <n v="6"/>
    <m/>
    <n v="0"/>
    <m/>
  </r>
  <r>
    <s v="CIM 1598"/>
    <s v="ICAD"/>
    <x v="12"/>
    <s v="Toner (55b2h0e) Impressora lexmark ms/mx331adn/ms331d"/>
    <s v="LEXMARK"/>
    <s v="MS/MX331ADN/MS331D"/>
    <s v="Original"/>
    <n v="2500"/>
    <s v="Não"/>
    <n v="6"/>
    <m/>
    <n v="0"/>
    <m/>
  </r>
  <r>
    <s v="CIM 1599"/>
    <s v="ICAD"/>
    <x v="12"/>
    <s v="Toner (602he) Impressora lexmark mx310/410/510/511/611"/>
    <s v="LEXMARK"/>
    <s v="LEXMARK MX310/410/510/511/611"/>
    <s v="Original"/>
    <n v="2500"/>
    <s v="Não"/>
    <n v="6"/>
    <m/>
    <n v="0"/>
    <m/>
  </r>
  <r>
    <s v="CIM 1600"/>
    <s v="ICAD"/>
    <x v="12"/>
    <s v="Toner 502h (550400840) lexmark"/>
    <s v="LEXMARK"/>
    <s v="MS 310D"/>
    <s v="Original"/>
    <n v="1500"/>
    <s v="Sim"/>
    <n v="6"/>
    <m/>
    <n v="0"/>
    <m/>
  </r>
  <r>
    <s v="CIM 1601"/>
    <s v="ICAD"/>
    <x v="12"/>
    <s v="Toner cor preta ms310 lexmark"/>
    <s v="LEXMARK"/>
    <s v="LASER LEXMARK Mod. MS310DN"/>
    <s v="Original"/>
    <n v="1500"/>
    <s v="Sim"/>
    <n v="8"/>
    <m/>
    <n v="0"/>
    <m/>
  </r>
  <r>
    <s v="CIM 1602"/>
    <s v="ICAD"/>
    <x v="12"/>
    <s v="Toner Preto 56F2X0E (MS321dn)"/>
    <s v="LEXMARK"/>
    <s v="56F2X0E"/>
    <s v="Original"/>
    <m/>
    <m/>
    <n v="6"/>
    <m/>
    <n v="0"/>
    <m/>
  </r>
  <r>
    <s v="CIM 1624"/>
    <s v="ULSAC"/>
    <x v="12"/>
    <s v="Recipiente de Residuos X792                                                     "/>
    <s v="LEXMARK"/>
    <s v="LEXMARK MOD X792"/>
    <s v="Original"/>
    <m/>
    <s v="Não"/>
    <n v="30"/>
    <m/>
    <n v="0"/>
    <m/>
  </r>
  <r>
    <s v="CIM 1625"/>
    <s v="ULSAC"/>
    <x v="12"/>
    <s v="Toner LEXMARK MX521 de (56F2U00) (CENTROS SAUde)                                "/>
    <s v="LEXMARK"/>
    <s v="MX521 de"/>
    <s v="Original"/>
    <m/>
    <s v="Não"/>
    <n v="4"/>
    <m/>
    <n v="0"/>
    <m/>
  </r>
  <r>
    <s v="CIM 1626"/>
    <s v="ULSAC"/>
    <x v="12"/>
    <s v="Unidade Imagem LEXMARK 500ZA MS510DN  (50F0Z00) (CENTROS SAUde)                 "/>
    <s v="LEXMARK"/>
    <s v="LEXMARK MS510DN"/>
    <s v="Original"/>
    <m/>
    <s v="Não"/>
    <n v="80.5"/>
    <m/>
    <n v="0"/>
    <m/>
  </r>
  <r>
    <s v="CIM 1627"/>
    <s v="ULSAC"/>
    <x v="12"/>
    <s v="Unidade Imagem LEXMARK MX331 (55B0ZA0) (CENTROS SAUde)                          "/>
    <s v="LEXMARK"/>
    <s v="LEXMARK MX331"/>
    <s v="Original"/>
    <m/>
    <s v="Não"/>
    <n v="22"/>
    <m/>
    <n v="0"/>
    <m/>
  </r>
  <r>
    <s v="CIM 1628"/>
    <s v="ULSAC"/>
    <x v="12"/>
    <s v="Unidade Imagem LEXMARK MX521 (56F0Z00) (CENTROS SAUde)                          "/>
    <s v="LEXMARK"/>
    <s v="LEXMARK MX521"/>
    <s v="Original"/>
    <m/>
    <s v="Não"/>
    <n v="2"/>
    <m/>
    <n v="0"/>
    <m/>
  </r>
  <r>
    <s v="CIM 1632"/>
    <s v="ULSAS"/>
    <x v="12"/>
    <s v="Lexmark MS312"/>
    <s v="LEXMARK"/>
    <s v="Lexmark MS312"/>
    <s v="Original"/>
    <m/>
    <s v="Sim"/>
    <n v="160"/>
    <m/>
    <n v="0"/>
    <m/>
  </r>
  <r>
    <s v="CIM 1633"/>
    <s v="ULSAS"/>
    <x v="12"/>
    <s v="Lexmark MS312 50F0Z00 (Unidade Imagem)"/>
    <s v="LEXMARK"/>
    <s v="Lexmark MS312"/>
    <s v="Original"/>
    <m/>
    <s v="Sim"/>
    <n v="54"/>
    <m/>
    <n v="0"/>
    <m/>
  </r>
  <r>
    <s v="CIM 1634"/>
    <s v="ULSAS"/>
    <x v="12"/>
    <s v="Lexmark MS321 56F2H00 "/>
    <s v="LEXMARK"/>
    <s v="Lexmark MS321"/>
    <s v="Original"/>
    <m/>
    <s v="Sim"/>
    <n v="110"/>
    <m/>
    <n v="0"/>
    <m/>
  </r>
  <r>
    <s v="CIM 1635"/>
    <s v="ULSAS"/>
    <x v="12"/>
    <s v="Lexmark MS321 DR56F0Z00 (Unidade Imagem)"/>
    <s v="LEXMARK"/>
    <s v="Lexmark MS322"/>
    <s v="Original"/>
    <m/>
    <s v="Sim"/>
    <n v="50"/>
    <m/>
    <n v="0"/>
    <m/>
  </r>
  <r>
    <s v="CIM 1636"/>
    <s v="ULSAS"/>
    <x v="12"/>
    <s v="Lexmark MS331 55B0ZA0 (Unidade Imagem)"/>
    <s v="LEXMARK"/>
    <s v="Lexmark MS331"/>
    <s v="Original"/>
    <m/>
    <s v="Sim"/>
    <n v="300"/>
    <m/>
    <n v="0"/>
    <m/>
  </r>
  <r>
    <s v="CIM 1637"/>
    <s v="ULSAS"/>
    <x v="12"/>
    <s v="Lexmark MS331 55B2H00"/>
    <s v="LEXMARK"/>
    <s v="Lexmark MS331"/>
    <s v="Original"/>
    <m/>
    <s v="Sim"/>
    <n v="1000"/>
    <m/>
    <n v="0"/>
    <m/>
  </r>
  <r>
    <s v="CIM 1638"/>
    <s v="ULSAS"/>
    <x v="12"/>
    <s v="Lexmark MX310"/>
    <s v="LEXMARK"/>
    <s v="Lexmark MX310"/>
    <s v="Original"/>
    <m/>
    <s v="Sim"/>
    <n v="20"/>
    <m/>
    <n v="0"/>
    <m/>
  </r>
  <r>
    <s v="CIM 1639"/>
    <s v="ULSAS"/>
    <x v="12"/>
    <s v="Lexmark MX310 50F0Z00 (Unidade Imagem)"/>
    <s v="LEXMARK"/>
    <s v="Lexmark MX311"/>
    <s v="Original"/>
    <m/>
    <s v="Sim"/>
    <n v="10"/>
    <m/>
    <n v="0"/>
    <m/>
  </r>
  <r>
    <s v="CIM 1679"/>
    <s v="ULSASI"/>
    <x v="12"/>
    <s v="RECIPIENTE TONER RESID IMP LEXMARK CX431"/>
    <s v="LEXMARK"/>
    <s v="N/A"/>
    <s v="Original"/>
    <m/>
    <m/>
    <n v="5"/>
    <m/>
    <n v="0"/>
    <m/>
  </r>
  <r>
    <s v="CIM 1680"/>
    <s v="ULSASI"/>
    <x v="12"/>
    <s v="TONER 56F0UA0 LEXMARK MX521DE PRETO"/>
    <s v="LEXMARK"/>
    <s v="N/A"/>
    <s v="Original"/>
    <m/>
    <m/>
    <n v="8"/>
    <m/>
    <n v="0"/>
    <m/>
  </r>
  <r>
    <s v="CIM 1681"/>
    <s v="ULSASI"/>
    <x v="12"/>
    <s v="TONER 60FOXAO LEXMARK MX611DE PRETO"/>
    <s v="LEXMARK"/>
    <s v="N/A"/>
    <s v="Original"/>
    <m/>
    <m/>
    <n v="26"/>
    <m/>
    <n v="0"/>
    <m/>
  </r>
  <r>
    <s v="CIM 1682"/>
    <s v="ULSASI"/>
    <x v="12"/>
    <s v="TONER IMP LEXMARK CX431 20N2XC0 (CYAN)"/>
    <s v="LEXMARK"/>
    <s v="N/A"/>
    <s v="Original"/>
    <m/>
    <m/>
    <n v="4"/>
    <m/>
    <n v="0"/>
    <m/>
  </r>
  <r>
    <s v="CIM 1683"/>
    <s v="ULSASI"/>
    <x v="12"/>
    <s v="TONER IMP LEXMARK CX431 20N2XK0 PRETO"/>
    <s v="LEXMARK"/>
    <s v="N/A"/>
    <s v="Original"/>
    <m/>
    <m/>
    <n v="10"/>
    <m/>
    <n v="0"/>
    <m/>
  </r>
  <r>
    <s v="CIM 1684"/>
    <s v="ULSASI"/>
    <x v="12"/>
    <s v="TONER IMP LEXMARK CX431 20N2XM0 (MAGENT)"/>
    <s v="LEXMARK"/>
    <s v="N/A"/>
    <s v="Original"/>
    <m/>
    <m/>
    <n v="4"/>
    <m/>
    <n v="0"/>
    <m/>
  </r>
  <r>
    <s v="CIM 1685"/>
    <s v="ULSASI"/>
    <x v="12"/>
    <s v="TONER IMP LEXMARK CX431 20N2XY0 (AMAREL)"/>
    <s v="LEXMARK"/>
    <s v="N/A"/>
    <s v="Original"/>
    <m/>
    <m/>
    <n v="4"/>
    <m/>
    <n v="0"/>
    <m/>
  </r>
  <r>
    <s v="CIM 1686"/>
    <s v="ULSASI"/>
    <x v="12"/>
    <s v="TONER LEXMARK MS321DN PRETO 56F2H0E"/>
    <s v="LEXMARK"/>
    <s v="N/A"/>
    <s v="Original"/>
    <m/>
    <m/>
    <n v="12"/>
    <m/>
    <n v="0"/>
    <m/>
  </r>
  <r>
    <s v="CIM 1687"/>
    <s v="ULSASI"/>
    <x v="12"/>
    <s v="TONER LEXMARK MS410D PRETO 50F2H0E"/>
    <s v="LEXMARK"/>
    <s v="N/A"/>
    <s v="Original"/>
    <m/>
    <m/>
    <n v="131"/>
    <m/>
    <n v="0"/>
    <m/>
  </r>
  <r>
    <s v="CIM 1688"/>
    <s v="ULSASI"/>
    <x v="12"/>
    <s v="TONER LEXMARK MX310D 602H PRETO 60F2HOE"/>
    <s v="LEXMARK"/>
    <s v="N/A"/>
    <s v="Original"/>
    <m/>
    <m/>
    <n v="220"/>
    <m/>
    <n v="0"/>
    <m/>
  </r>
  <r>
    <s v="CIM 1689"/>
    <s v="ULSASI"/>
    <x v="12"/>
    <s v="TONER LEXMARK MX331 PRETO DN"/>
    <s v="LEXMARK"/>
    <s v="N/A"/>
    <s v="Original"/>
    <m/>
    <m/>
    <n v="219"/>
    <m/>
    <n v="0"/>
    <m/>
  </r>
  <r>
    <s v="CIM 1726"/>
    <s v="ULSETEJO"/>
    <x v="12"/>
    <s v="Toner LEXMARK 55B2H0E MX331ADN Preto ADN"/>
    <s v="LEXMARK"/>
    <s v="LEXMARK 55B2H0E MX331ADN Preto ADN"/>
    <s v="Original"/>
    <m/>
    <s v="Não"/>
    <n v="60"/>
    <m/>
    <n v="0"/>
    <m/>
  </r>
  <r>
    <s v="CIM 1727"/>
    <s v="ULSETEJO"/>
    <x v="12"/>
    <s v="Toner LEXMARK E260A11E Preto"/>
    <s v="LEXMARK"/>
    <s v="Toner LEXMARK E260A11E Preto"/>
    <s v="Original"/>
    <m/>
    <s v="Não"/>
    <n v="12"/>
    <m/>
    <n v="0"/>
    <m/>
  </r>
  <r>
    <s v="CIM 1728"/>
    <s v="ULSETEJO"/>
    <x v="12"/>
    <s v="Toner LEXMARK MS312PN Preto"/>
    <s v="LEXMARK"/>
    <s v="Toner LEXMARK MS312PN Preto"/>
    <s v="Original"/>
    <m/>
    <s v="Não"/>
    <n v="75"/>
    <m/>
    <n v="0"/>
    <m/>
  </r>
  <r>
    <s v="CIM 1729"/>
    <s v="ULSETEJO"/>
    <x v="12"/>
    <s v="Toner LEXMARK MS321DN Preto 56F2H0E"/>
    <s v="LEXMARK"/>
    <s v="LEXMARK MS321DN Preto 56F2H0E"/>
    <s v="Original"/>
    <m/>
    <s v="Não"/>
    <n v="36"/>
    <m/>
    <n v="0"/>
    <m/>
  </r>
  <r>
    <s v="CIM 1730"/>
    <s v="ULSETEJO"/>
    <x v="12"/>
    <s v="Toner LEXMARK MS410D Preto 50F2H0E"/>
    <s v="LEXMARK"/>
    <s v="N/A"/>
    <s v="Original"/>
    <m/>
    <s v="Não"/>
    <n v="40"/>
    <m/>
    <n v="0"/>
    <m/>
  </r>
  <r>
    <s v="CIM 1731"/>
    <s v="ULSETEJO"/>
    <x v="12"/>
    <s v="Toner LEXMARK MX310D 602H Preto 60F2HOE"/>
    <s v="LEXMARK"/>
    <s v="MX310D 602H Preto 60F2HOE"/>
    <s v="Original"/>
    <m/>
    <s v="Não"/>
    <n v="20"/>
    <m/>
    <n v="0"/>
    <m/>
  </r>
  <r>
    <s v="CIM 1732"/>
    <s v="ULSETEJO"/>
    <x v="12"/>
    <s v="Unidade de Imagem Lexmark MS310/410/510/610/611 60"/>
    <s v="LEXMARK"/>
    <s v="MS310/410/510/610/611 60"/>
    <s v="Original"/>
    <m/>
    <s v="Não"/>
    <n v="1"/>
    <m/>
    <n v="0"/>
    <m/>
  </r>
  <r>
    <s v="CIM 1745"/>
    <s v="ULSG"/>
    <x v="12"/>
    <s v="KIT de Manutenção 40X8282 para Impressora LEXMARK M1145,MX1145"/>
    <s v="LEXMARK"/>
    <s v="M1145"/>
    <s v="Original"/>
    <m/>
    <m/>
    <n v="30"/>
    <m/>
    <n v="0"/>
    <m/>
  </r>
  <r>
    <s v="CIM 1746"/>
    <s v="ULSG"/>
    <x v="12"/>
    <s v="Toner 24B6517 para LEXMARK C4150"/>
    <s v="LEXMARK"/>
    <s v="C4150"/>
    <s v="Original"/>
    <m/>
    <m/>
    <n v="2"/>
    <m/>
    <n v="0"/>
    <m/>
  </r>
  <r>
    <s v="CIM 1747"/>
    <s v="ULSG"/>
    <x v="12"/>
    <s v="Unidade de Imagem 24B6040 para Impressora LEXMARK M1145,MX1145"/>
    <s v="LEXMARK"/>
    <s v="M1145"/>
    <s v="Original"/>
    <m/>
    <m/>
    <n v="90"/>
    <m/>
    <n v="0"/>
    <m/>
  </r>
  <r>
    <s v="CIM 1754"/>
    <s v="ULSLOD"/>
    <x v="12"/>
    <s v="Fotocondutor 20N0W00"/>
    <s v="LEXMARK"/>
    <s v="CS431dw"/>
    <s v="Original"/>
    <n v="15000"/>
    <s v="Sim"/>
    <n v="1"/>
    <m/>
    <n v="0"/>
    <m/>
  </r>
  <r>
    <s v="CIM 1755"/>
    <s v="ULSLOD"/>
    <x v="12"/>
    <s v="Toner Amarelo 20N2XY0"/>
    <s v="LEXMARK"/>
    <s v="CS431dw"/>
    <s v="Original"/>
    <n v="10000"/>
    <s v="Sim"/>
    <n v="2"/>
    <m/>
    <n v="0"/>
    <m/>
  </r>
  <r>
    <s v="CIM 1756"/>
    <s v="ULSLOD"/>
    <x v="12"/>
    <s v="Toner Cyan 20N2XC0"/>
    <s v="LEXMARK"/>
    <s v="CS431dw"/>
    <s v="Original"/>
    <n v="10000"/>
    <s v="Sim"/>
    <n v="2"/>
    <m/>
    <n v="0"/>
    <m/>
  </r>
  <r>
    <s v="CIM 1757"/>
    <s v="ULSLOD"/>
    <x v="12"/>
    <s v="Toner Magenta 20N2XM0"/>
    <s v="LEXMARK"/>
    <s v="CS431dw"/>
    <s v="Original"/>
    <n v="10000"/>
    <s v="Sim"/>
    <n v="2"/>
    <m/>
    <n v="0"/>
    <m/>
  </r>
  <r>
    <s v="CIM 1758"/>
    <s v="ULSLOD"/>
    <x v="12"/>
    <s v="Toner Preto 20N2XK0"/>
    <s v="LEXMARK"/>
    <s v="CS431dw"/>
    <s v="Original"/>
    <n v="20000"/>
    <s v="Sim"/>
    <n v="2"/>
    <m/>
    <n v="0"/>
    <m/>
  </r>
  <r>
    <s v="CIM 1759"/>
    <s v="ULSLOD"/>
    <x v="12"/>
    <s v="Toner Preto 55B2H00"/>
    <s v="LEXMARK"/>
    <s v="MS331dn"/>
    <s v="Original"/>
    <n v="15000"/>
    <s v="Sim"/>
    <n v="50"/>
    <m/>
    <n v="0"/>
    <m/>
  </r>
  <r>
    <s v="CIM 1760"/>
    <s v="ULSLOD"/>
    <x v="12"/>
    <s v="Toner Preto 56F2U0E"/>
    <s v="LEXMARK"/>
    <s v="MX521ade"/>
    <s v="Original"/>
    <n v="600000"/>
    <s v="Sim"/>
    <n v="50"/>
    <m/>
    <n v="0"/>
    <m/>
  </r>
  <r>
    <s v="CIM 1761"/>
    <s v="ULSLOD"/>
    <x v="12"/>
    <s v="Unidade de Imagem 56F0ZA0 LEXMARK MX521de Preto             "/>
    <s v="LEXMARK"/>
    <s v=" MX521de"/>
    <s v="Original"/>
    <n v="60000"/>
    <s v="Sim"/>
    <n v="7"/>
    <m/>
    <n v="0"/>
    <m/>
  </r>
  <r>
    <s v="CIM 1762"/>
    <s v="ULSLOD"/>
    <x v="12"/>
    <s v="Unidade de Imagem LEXMARK 55B0ZA0 MS331DN                   "/>
    <s v="LEXMARK"/>
    <s v="MS331DN"/>
    <s v="Original"/>
    <n v="40000"/>
    <s v="Sim"/>
    <n v="7"/>
    <m/>
    <n v="0"/>
    <m/>
  </r>
  <r>
    <s v="CIM 1766"/>
    <s v="ULSM"/>
    <x v="12"/>
    <s v="Tambor lexmark MS431dn"/>
    <s v="LEXMARK"/>
    <s v="55B0ZA0"/>
    <s v="Original"/>
    <s v="40 000 pág."/>
    <s v="Sim"/>
    <n v="20"/>
    <m/>
    <n v="0"/>
    <m/>
  </r>
  <r>
    <s v="CIM 1767"/>
    <s v="ULSM"/>
    <x v="12"/>
    <s v="Toner lexmark MS431dn"/>
    <s v="LEXMARK"/>
    <s v="55B0XA0"/>
    <s v="Original"/>
    <s v="20 000 pág."/>
    <s v="Sim"/>
    <n v="20"/>
    <m/>
    <n v="0"/>
    <m/>
  </r>
  <r>
    <s v="CIM 1787"/>
    <s v="ULSO"/>
    <x v="12"/>
    <s v="Kit de Manutenção LEXMARK MX310DN"/>
    <s v="LEXMARK"/>
    <s v="MX310DN"/>
    <s v="Original"/>
    <m/>
    <m/>
    <n v="10"/>
    <m/>
    <n v="0"/>
    <s v="66S0Z00"/>
  </r>
  <r>
    <s v="CIM 1788"/>
    <s v="ULSO"/>
    <x v="12"/>
    <s v="Tambor LEXMARK MS310DN  "/>
    <s v="LEXMARK"/>
    <s v="MS310DN         "/>
    <s v="Original"/>
    <m/>
    <m/>
    <n v="60"/>
    <m/>
    <n v="0"/>
    <s v="56F0Z00"/>
  </r>
  <r>
    <s v="CIM 1789"/>
    <s v="ULSO"/>
    <x v="12"/>
    <s v="Toner Amarelo LEXMARK CS431-CX431"/>
    <s v="LEXMARK"/>
    <s v="CS431-CX431"/>
    <s v="Original"/>
    <m/>
    <m/>
    <n v="9"/>
    <m/>
    <n v="0"/>
    <m/>
  </r>
  <r>
    <s v="CIM 1790"/>
    <s v="ULSO"/>
    <x v="12"/>
    <s v="Toner Amarelo LEXMARK X922"/>
    <s v="LEXMARK"/>
    <s v="X922"/>
    <s v="Original"/>
    <m/>
    <m/>
    <n v="3"/>
    <m/>
    <n v="0"/>
    <s v="76C00Y00"/>
  </r>
  <r>
    <s v="CIM 1791"/>
    <s v="ULSO"/>
    <x v="12"/>
    <s v="Toner Cyan LEXMARK CS431-CX431"/>
    <s v="LEXMARK"/>
    <s v="CS431-CX431"/>
    <s v="Original"/>
    <m/>
    <m/>
    <n v="9"/>
    <m/>
    <n v="0"/>
    <m/>
  </r>
  <r>
    <s v="CIM 1792"/>
    <s v="ULSO"/>
    <x v="12"/>
    <s v="Toner Cyan LEXMARK X922"/>
    <s v="LEXMARK"/>
    <s v="X922"/>
    <s v="Original"/>
    <m/>
    <m/>
    <n v="3"/>
    <m/>
    <n v="0"/>
    <s v="76C00C0"/>
  </r>
  <r>
    <s v="CIM 1793"/>
    <s v="ULSO"/>
    <x v="12"/>
    <s v="Toner LEXMARK MX310D"/>
    <s v="LEXMARK"/>
    <s v="MX310D"/>
    <s v="Original"/>
    <m/>
    <m/>
    <n v="128"/>
    <m/>
    <n v="0"/>
    <s v="56F2000"/>
  </r>
  <r>
    <s v="CIM 1794"/>
    <s v="ULSO"/>
    <x v="12"/>
    <s v="Toner Magenta LEXMARK CS431-CX431"/>
    <s v="LEXMARK"/>
    <s v="CS431-CX431"/>
    <s v="Original"/>
    <m/>
    <m/>
    <n v="9"/>
    <m/>
    <n v="0"/>
    <m/>
  </r>
  <r>
    <s v="CIM 1795"/>
    <s v="ULSO"/>
    <x v="12"/>
    <s v="Toner Magenta LEXMARK X922"/>
    <s v="LEXMARK"/>
    <s v="X922"/>
    <s v="Original"/>
    <m/>
    <m/>
    <n v="3"/>
    <m/>
    <n v="0"/>
    <s v="76C00M0"/>
  </r>
  <r>
    <s v="CIM 1796"/>
    <s v="ULSO"/>
    <x v="12"/>
    <s v="Toner Preto LEXMARK CS431-CX431"/>
    <s v="LEXMARK"/>
    <s v="CS431-CX431"/>
    <s v="Original"/>
    <m/>
    <m/>
    <n v="17"/>
    <m/>
    <n v="0"/>
    <m/>
  </r>
  <r>
    <s v="CIM 1797"/>
    <s v="ULSO"/>
    <x v="12"/>
    <s v="Toner Preto LEXMARK CX922de"/>
    <s v="LEXMARK"/>
    <s v="CX922de"/>
    <s v="Original"/>
    <m/>
    <m/>
    <n v="7"/>
    <m/>
    <n v="0"/>
    <s v="76C00K00"/>
  </r>
  <r>
    <s v="CIM 1798"/>
    <s v="ULSO"/>
    <x v="12"/>
    <s v="Toner Preto LEXMARK MS312PN"/>
    <s v="LEXMARK"/>
    <s v="MS312PN"/>
    <s v="Original"/>
    <m/>
    <m/>
    <n v="86"/>
    <m/>
    <n v="0"/>
    <s v="51F2HOE"/>
  </r>
  <r>
    <s v="CIM 1799"/>
    <s v="ULSO"/>
    <x v="12"/>
    <s v="Toner Preto LEXMARK MS321DN"/>
    <s v="LEXMARK"/>
    <s v="MS321DN"/>
    <s v="Original"/>
    <m/>
    <m/>
    <n v="34"/>
    <m/>
    <n v="0"/>
    <s v="56F2HOE"/>
  </r>
  <r>
    <s v="CIM 1800"/>
    <s v="ULSO"/>
    <x v="12"/>
    <s v="Toner Preto LEXMARK MS331DN"/>
    <s v="LEXMARK"/>
    <s v="MS331DN"/>
    <s v="Original"/>
    <m/>
    <m/>
    <n v="216"/>
    <m/>
    <n v="0"/>
    <s v="55B2XOE"/>
  </r>
  <r>
    <s v="CIM 1801"/>
    <s v="ULSO"/>
    <x v="12"/>
    <s v="Unidade de Imagem LEXMARK MS321DN"/>
    <s v="LEXMARK"/>
    <s v="MS321DN"/>
    <s v="Original"/>
    <m/>
    <m/>
    <n v="17"/>
    <m/>
    <n v="0"/>
    <s v="66S0Z00"/>
  </r>
  <r>
    <s v="CIM 1802"/>
    <s v="ULSO"/>
    <x v="12"/>
    <s v="Unidade de Imagem LEXMARK MS331DN"/>
    <s v="LEXMARK"/>
    <s v="MS331DN"/>
    <s v="Original"/>
    <m/>
    <m/>
    <n v="26"/>
    <m/>
    <n v="0"/>
    <s v="55B0ZA0"/>
  </r>
  <r>
    <s v="CIM 1829"/>
    <s v="ULSPVVC"/>
    <x v="12"/>
    <s v="Fotocondutor  56f0z00 lexmark"/>
    <s v="LEXMARK"/>
    <s v="MS321DN"/>
    <s v="Original"/>
    <n v="6000"/>
    <s v="Sim"/>
    <n v="3"/>
    <m/>
    <n v="0"/>
    <m/>
  </r>
  <r>
    <s v="CIM 1830"/>
    <s v="ULSPVVC"/>
    <x v="12"/>
    <s v="Fotocondutor 500z lexmark"/>
    <s v="LEXMARK"/>
    <s v="MS310d,MS310dn,MS410"/>
    <s v="Original"/>
    <n v="60000"/>
    <s v="Sim"/>
    <n v="3"/>
    <m/>
    <n v="0"/>
    <m/>
  </r>
  <r>
    <s v="CIM 1831"/>
    <s v="ULSPVVC"/>
    <x v="12"/>
    <s v="Fotocondutor 55b0za0 lexmark"/>
    <s v="LEXMARK"/>
    <s v="MS331DN"/>
    <s v="Original"/>
    <n v="40000"/>
    <s v="Sim"/>
    <n v="10"/>
    <m/>
    <n v="0"/>
    <m/>
  </r>
  <r>
    <s v="CIM 1832"/>
    <s v="ULSPVVC"/>
    <x v="12"/>
    <s v="Toner 502he lexmark"/>
    <s v="LEXMARK"/>
    <s v="MS310d/312/315/410/415/510/610"/>
    <s v="Original"/>
    <n v="5000"/>
    <s v="Sim"/>
    <n v="30"/>
    <m/>
    <n v="0"/>
    <m/>
  </r>
  <r>
    <s v="CIM 1833"/>
    <s v="ULSPVVC"/>
    <x v="12"/>
    <s v="Toner 55b2h00 lexmark"/>
    <s v="LEXMARK"/>
    <s v="MS331dn"/>
    <s v="Original"/>
    <n v="15000"/>
    <s v="Sim"/>
    <n v="3"/>
    <m/>
    <n v="0"/>
    <m/>
  </r>
  <r>
    <s v="CIM 1834"/>
    <s v="ULSPVVC"/>
    <x v="12"/>
    <s v="Toner 56f2h0e lexmark"/>
    <s v="LEXMARK"/>
    <s v=" MS321dn /421/521/621/622"/>
    <s v="Original"/>
    <n v="15000"/>
    <s v="Sim"/>
    <n v="20"/>
    <m/>
    <n v="0"/>
    <m/>
  </r>
  <r>
    <s v="CIM 1888"/>
    <s v="ULSSJOSE"/>
    <x v="12"/>
    <s v="Fusor para LEXMARK MX310"/>
    <s v="LEXMARK"/>
    <s v="MX310"/>
    <s v="Original"/>
    <s v="N/A"/>
    <s v="N/A"/>
    <n v="1"/>
    <m/>
    <n v="0"/>
    <m/>
  </r>
  <r>
    <s v="CIM 1889"/>
    <s v="ULSSJOSE"/>
    <x v="12"/>
    <s v="Fusor para LEXMARK MX331"/>
    <s v="LEXMARK"/>
    <s v="MX331"/>
    <s v="Original"/>
    <n v="60000"/>
    <s v="N/A"/>
    <n v="1"/>
    <m/>
    <n v="0"/>
    <m/>
  </r>
  <r>
    <s v="CIM 1890"/>
    <s v="ULSSJOSE"/>
    <x v="12"/>
    <s v="Fusor para LEXMARK MX521"/>
    <s v="LEXMARK"/>
    <s v="MX521"/>
    <s v="Original"/>
    <s v="N/A"/>
    <s v="N/A"/>
    <n v="1"/>
    <m/>
    <n v="0"/>
    <m/>
  </r>
  <r>
    <s v="CIM 1891"/>
    <s v="ULSSJOSE"/>
    <x v="12"/>
    <s v="KIT Fotocondutor E260X22GP Impressora LEXMARK"/>
    <s v="LEXMARK"/>
    <s v="x464de"/>
    <s v="Original"/>
    <n v="30000"/>
    <s v="N/A"/>
    <n v="12"/>
    <m/>
    <n v="0"/>
    <m/>
  </r>
  <r>
    <s v="CIM 1892"/>
    <s v="ULSSJOSE"/>
    <x v="12"/>
    <s v="Recipiente Residuos Toner P/ LEXMARK C534N"/>
    <s v="LEXMARK"/>
    <s v="C534N"/>
    <s v="Original"/>
    <s v="N/A"/>
    <s v="N/A"/>
    <n v="1"/>
    <m/>
    <n v="0"/>
    <m/>
  </r>
  <r>
    <s v="CIM 1893"/>
    <s v="ULSSJOSE"/>
    <x v="12"/>
    <s v="Tambor para Impressora LEXMARK MS521 DN / MS622 de/ MX521Ade"/>
    <s v="LEXMARK"/>
    <s v="MS521 DN / MS622 de/ MX521Ade"/>
    <s v="Original"/>
    <n v="60000"/>
    <s v="N/A"/>
    <n v="69"/>
    <m/>
    <n v="0"/>
    <m/>
  </r>
  <r>
    <s v="CIM 1894"/>
    <s v="ULSSJOSE"/>
    <x v="12"/>
    <s v="Toner LEXMARK 12A7400 (P/ E321/E323)"/>
    <s v="LEXMARK"/>
    <s v="E321/E323"/>
    <s v="Original"/>
    <n v="5500"/>
    <s v="Sim"/>
    <n v="24"/>
    <m/>
    <n v="0"/>
    <m/>
  </r>
  <r>
    <s v="CIM 1895"/>
    <s v="ULSSJOSE"/>
    <x v="12"/>
    <s v="Toner LEXMARK MS/MX321,421,521,622, MS621; MX522"/>
    <s v="LEXMARK"/>
    <s v="MS/MX321,421,521,622, MS621; MX522"/>
    <s v="Original"/>
    <n v="12500"/>
    <s v="Sim"/>
    <n v="20"/>
    <m/>
    <n v="0"/>
    <m/>
  </r>
  <r>
    <s v="CIM 1896"/>
    <s v="ULSSJOSE"/>
    <x v="12"/>
    <s v="Toner LEXMARK MS410D Preto"/>
    <s v="LEXMARK"/>
    <s v="MS410d"/>
    <s v="Original"/>
    <n v="9500"/>
    <s v="Sim"/>
    <n v="9"/>
    <m/>
    <n v="0"/>
    <m/>
  </r>
  <r>
    <s v="CIM 1897"/>
    <s v="ULSSJOSE"/>
    <x v="12"/>
    <s v="Toner LEXMARK MX310D 602H Preto 60F2HOE"/>
    <s v="LEXMARK"/>
    <s v="MX310"/>
    <s v="Original"/>
    <n v="9500"/>
    <s v="Sim"/>
    <n v="80"/>
    <m/>
    <n v="0"/>
    <m/>
  </r>
  <r>
    <s v="CIM 1898"/>
    <s v="ULSSJOSE"/>
    <x v="12"/>
    <s v="Toner LEXMARK MX331 Preto DN / MS331"/>
    <s v="LEXMARK"/>
    <s v="MX331"/>
    <s v="Original"/>
    <n v="12500"/>
    <s v="Sim"/>
    <n v="131"/>
    <m/>
    <n v="0"/>
    <m/>
  </r>
  <r>
    <s v="CIM 1899"/>
    <s v="ULSSJOSE"/>
    <x v="12"/>
    <s v="Toner P/Impressora LEXMARK E260"/>
    <s v="LEXMARK"/>
    <s v="E260d"/>
    <s v="Original"/>
    <n v="3000"/>
    <s v="Não"/>
    <n v="25"/>
    <m/>
    <n v="0"/>
    <m/>
  </r>
  <r>
    <s v="CIM 1900"/>
    <s v="ULSSJOSE"/>
    <x v="12"/>
    <s v="Toner para Impressora LEXMARK MS/MX 521,622; MX522;MS621"/>
    <s v="LEXMARK"/>
    <s v="MS/MX 521,622; MX522;MS621"/>
    <s v="Original"/>
    <n v="20000"/>
    <s v="Sim"/>
    <n v="233"/>
    <m/>
    <n v="0"/>
    <m/>
  </r>
  <r>
    <s v="CIM 1901"/>
    <s v="ULSSJOSE"/>
    <x v="12"/>
    <s v="Unidade de Imagem P/Impressora LEXMARK MS/MX 31X, 41X, 51X, 61X"/>
    <s v="LEXMARK"/>
    <s v="Série MS/MX"/>
    <s v="Original"/>
    <n v="60000"/>
    <s v="N/A"/>
    <n v="10"/>
    <m/>
    <n v="0"/>
    <m/>
  </r>
  <r>
    <s v="CIM 1902"/>
    <s v="ULSSJOSE"/>
    <x v="12"/>
    <s v="Unidade Fotocondutora P/ LEXMARK C53X (PACK 4)"/>
    <s v="LEXMARK"/>
    <s v="C534N"/>
    <s v="Original"/>
    <s v="N/A"/>
    <s v="N/A"/>
    <n v="2"/>
    <m/>
    <n v="0"/>
    <m/>
  </r>
  <r>
    <s v="CIM1035"/>
    <s v="IPOC"/>
    <x v="12"/>
    <s v="Drum kit preto p/ imp.lexmark ms310d"/>
    <s v="LEXMARK"/>
    <s v="IMP.LEXMARK MS310D"/>
    <s v="Original"/>
    <n v="5000"/>
    <s v="Sim"/>
    <n v="6"/>
    <m/>
    <n v="0"/>
    <m/>
  </r>
  <r>
    <s v="CIM1036"/>
    <s v="IPOC"/>
    <x v="12"/>
    <s v="Drum kit preto p/ imp.lexmark ms810dn"/>
    <s v="LEXMARK"/>
    <s v="IMP.LEXMARK MS810DN"/>
    <s v="Original"/>
    <n v="9000"/>
    <s v="Sim"/>
    <n v="1"/>
    <m/>
    <n v="0"/>
    <m/>
  </r>
  <r>
    <s v="CIM1034"/>
    <s v="IPOC"/>
    <x v="12"/>
    <s v="Toner p/ imp. Lexmark e352dn - e352h11e (alt cap)"/>
    <s v="LEXMARK"/>
    <s v="IMP. LEXMARK E352DN "/>
    <s v="Original"/>
    <n v="9000"/>
    <s v="Sim"/>
    <n v="1"/>
    <m/>
    <n v="0"/>
    <m/>
  </r>
  <r>
    <s v="CIM1042"/>
    <s v="IPOC"/>
    <x v="12"/>
    <s v="Toner p/impressora lexmark cs510 amarelo"/>
    <s v="LEXMARK"/>
    <s v="IMPRESSORA LEXMARK CS511"/>
    <s v="Original"/>
    <n v="4000"/>
    <s v="Sim"/>
    <n v="1"/>
    <m/>
    <n v="0"/>
    <m/>
  </r>
  <r>
    <s v="CIM1039"/>
    <s v="IPOC"/>
    <x v="12"/>
    <s v="Toner p/impressora lexmark cs510 azul"/>
    <s v="LEXMARK"/>
    <s v="IMPRESSORA LEXMARK CS510"/>
    <s v="Original"/>
    <n v="4000"/>
    <s v="Sim"/>
    <n v="1"/>
    <m/>
    <n v="0"/>
    <m/>
  </r>
  <r>
    <s v="CIM1041"/>
    <s v="IPOC"/>
    <x v="12"/>
    <s v="Toner p/impressora lexmark cs510 magenta"/>
    <s v="LEXMARK"/>
    <s v="IMPRESSORA LEXMARK CS511"/>
    <s v="Original"/>
    <n v="4000"/>
    <s v="Sim"/>
    <n v="1"/>
    <m/>
    <n v="0"/>
    <m/>
  </r>
  <r>
    <s v="CIM1040"/>
    <s v="IPOC"/>
    <x v="12"/>
    <s v="Toner p/impressora lexmark cs510 preto"/>
    <s v="LEXMARK"/>
    <s v="IMPRESSORA LEXMARK CS510 "/>
    <s v="Original"/>
    <n v="4000"/>
    <s v="Sim"/>
    <n v="2"/>
    <m/>
    <n v="0"/>
    <m/>
  </r>
  <r>
    <s v="CIM1043"/>
    <s v="IPOC"/>
    <x v="12"/>
    <s v="Toner p/impressora lexmark serie 300,400,500,600 - 502he"/>
    <s v="LEXMARK"/>
    <s v="IMPRESSORA LEXMARK SERIE 300,400,500,600 "/>
    <s v="Original"/>
    <n v="8000"/>
    <s v="Sim"/>
    <n v="36"/>
    <m/>
    <n v="0"/>
    <m/>
  </r>
  <r>
    <s v="CIM1044"/>
    <s v="IPOC"/>
    <x v="12"/>
    <s v="Toner p/impressora lexmark serie 800 preto - 522he"/>
    <s v="LEXMARK"/>
    <s v="IMPRESSORA LEXMARK SERIE 800"/>
    <s v="Original"/>
    <n v="6000"/>
    <s v="Sim"/>
    <n v="2"/>
    <m/>
    <n v="0"/>
    <m/>
  </r>
  <r>
    <s v="CIM0943"/>
    <s v="ULSAC"/>
    <x v="12"/>
    <s v="Fusor lexmark x792"/>
    <s v="LEXMARK"/>
    <s v="LEXMARK MOD X792"/>
    <s v="Original"/>
    <m/>
    <s v="Não"/>
    <n v="30"/>
    <m/>
    <n v="0"/>
    <m/>
  </r>
  <r>
    <s v="CIM0941"/>
    <s v="ULSAC"/>
    <x v="12"/>
    <s v="Kit manutencao lexmark ms810"/>
    <s v="LEXMARK"/>
    <s v="LEXMARK MS810"/>
    <s v="Original"/>
    <m/>
    <s v="Não"/>
    <n v="30"/>
    <m/>
    <n v="0"/>
    <m/>
  </r>
  <r>
    <s v="CIM0953"/>
    <s v="ULSAC"/>
    <x v="12"/>
    <s v="Lexmark mod x792 preto alta capacidade"/>
    <s v="LEXMARK"/>
    <s v="LEXMARK MOD X792"/>
    <s v="Original"/>
    <m/>
    <s v="Sim"/>
    <n v="1"/>
    <m/>
    <n v="0"/>
    <m/>
  </r>
  <r>
    <s v="CIM0945"/>
    <s v="ULSAC"/>
    <x v="12"/>
    <s v="Modulo transfer lexmark x792"/>
    <s v="LEXMARK"/>
    <s v="LEXMARK MOD X792"/>
    <s v="Original"/>
    <m/>
    <s v="Não"/>
    <n v="30"/>
    <m/>
    <n v="0"/>
    <m/>
  </r>
  <r>
    <s v="CIM0939"/>
    <s v="ULSAC"/>
    <x v="12"/>
    <s v="Toner imp lexmark mod 502h  (ms310dn)"/>
    <s v="LEXMARK"/>
    <s v="LEXMARK MOD 502H"/>
    <s v="Original"/>
    <m/>
    <s v="Não"/>
    <n v="140"/>
    <m/>
    <n v="0"/>
    <m/>
  </r>
  <r>
    <s v="CIM0938"/>
    <s v="ULSAC"/>
    <x v="12"/>
    <s v="Toner imp lexmark mod ms810dn preto alta capacidade"/>
    <s v="LEXMARK"/>
    <s v="LEXMARK MOD MS810DN"/>
    <s v="Original"/>
    <m/>
    <s v="Não"/>
    <n v="6"/>
    <m/>
    <n v="0"/>
    <m/>
  </r>
  <r>
    <s v="CIM0944"/>
    <s v="ULSAC"/>
    <x v="12"/>
    <s v="Toner imp lexmark mod x792 amarelo"/>
    <s v="LEXMARK"/>
    <s v="LEXMARK MOD X792"/>
    <s v="Original"/>
    <m/>
    <s v="Não"/>
    <n v="30"/>
    <m/>
    <n v="0"/>
    <m/>
  </r>
  <r>
    <s v="CIM0942"/>
    <s v="ULSAC"/>
    <x v="12"/>
    <s v="Toner imp lexmark mod x792 azul"/>
    <s v="LEXMARK"/>
    <s v="LEXMARK MOD X792"/>
    <s v="Original"/>
    <m/>
    <s v="Não"/>
    <n v="25"/>
    <m/>
    <n v="0"/>
    <m/>
  </r>
  <r>
    <s v="CIM0940"/>
    <s v="ULSAC"/>
    <x v="12"/>
    <s v="Toner imp lexmark mod x792 magenta"/>
    <s v="LEXMARK"/>
    <s v="LEXMARK MOD X792"/>
    <s v="Original"/>
    <m/>
    <s v="Não"/>
    <n v="3"/>
    <m/>
    <n v="0"/>
    <m/>
  </r>
  <r>
    <s v="CIM0009"/>
    <s v="ULSAC"/>
    <x v="12"/>
    <s v="Toner lexmark ms510dn ref 502ue"/>
    <s v="LEXMARK"/>
    <s v="MS510"/>
    <s v="Original"/>
    <s v="20 000 pág."/>
    <s v="Sim"/>
    <n v="163"/>
    <m/>
    <n v="0"/>
    <m/>
  </r>
  <r>
    <s v="CIM0011"/>
    <s v="ULSAC"/>
    <x v="12"/>
    <s v="TONER LEXMARK MX 331 adn - ref 55B2H00"/>
    <s v="LEXMARK"/>
    <s v="MX 331 adn"/>
    <s v="Original"/>
    <s v="15 000 pág."/>
    <s v="Sim"/>
    <n v="30"/>
    <m/>
    <n v="0"/>
    <m/>
  </r>
  <r>
    <s v="CIM0930"/>
    <s v="ULSAC"/>
    <x v="12"/>
    <s v="Unidade de imagem ms810"/>
    <s v="LEXMARK"/>
    <s v="LEXMARK MS810"/>
    <s v="Original"/>
    <m/>
    <s v="Não"/>
    <n v="10"/>
    <m/>
    <n v="0"/>
    <m/>
  </r>
  <r>
    <s v="CIM1492"/>
    <s v="ULSAC"/>
    <x v="12"/>
    <s v="UNIDADE IMAGEM MS310DN                                                          "/>
    <s v="LEXMARK"/>
    <s v="MS310DN         "/>
    <s v="Original"/>
    <m/>
    <s v="Não"/>
    <n v="3"/>
    <m/>
    <n v="0"/>
    <m/>
  </r>
  <r>
    <s v="CIM1568"/>
    <s v="ULSAM "/>
    <x v="12"/>
    <s v="Toner impressora lexmark monocromatica 502h (50f2h00)              "/>
    <s v="LEXMARK"/>
    <s v=" Laser Monocromática MS415dn"/>
    <s v="Original"/>
    <m/>
    <m/>
    <n v="2"/>
    <m/>
    <n v="0"/>
    <m/>
  </r>
  <r>
    <s v="CIM1268"/>
    <s v="ULSM"/>
    <x v="12"/>
    <s v="Tambor lexmark ms421dn"/>
    <s v="LEXMARK"/>
    <s v="56F0Z00"/>
    <s v="Original"/>
    <s v="60 000 pág."/>
    <s v="Sim"/>
    <n v="60"/>
    <m/>
    <n v="0"/>
    <m/>
  </r>
  <r>
    <s v="CIM1251"/>
    <s v="ULSM"/>
    <x v="12"/>
    <s v="Tambor p/ impressora ms312dn"/>
    <s v="LEXMARK"/>
    <s v="50F0Z00"/>
    <s v="Original"/>
    <s v="60 000 pág."/>
    <s v="Sim"/>
    <n v="35"/>
    <m/>
    <n v="0"/>
    <m/>
  </r>
  <r>
    <s v="CIM1277"/>
    <s v="ULSM"/>
    <x v="12"/>
    <s v="Toner lexmark ms421dn"/>
    <s v="LEXMARK"/>
    <s v="56F2X0E"/>
    <s v="Original"/>
    <s v="15 000 pág."/>
    <s v="Sim"/>
    <n v="100"/>
    <m/>
    <n v="0"/>
    <m/>
  </r>
  <r>
    <s v="CIM1468"/>
    <s v="ULSSA"/>
    <x v="12"/>
    <s v="Toner lexmark ms421dn"/>
    <s v="LEXMARK"/>
    <s v="56F2X0E"/>
    <s v="Original"/>
    <s v="15 000 pág."/>
    <s v="Sim"/>
    <n v="300"/>
    <m/>
    <n v="0"/>
    <n v="522204805"/>
  </r>
  <r>
    <s v="CIM1390"/>
    <s v="ULSSJOSE"/>
    <x v="12"/>
    <s v="CAIXA DE RESIDUOS LEXMARK CX622ADE"/>
    <s v="LEXMARK"/>
    <s v="CX622ade"/>
    <s v="Original"/>
    <n v="25000"/>
    <s v="N/A"/>
    <n v="22"/>
    <m/>
    <n v="0"/>
    <m/>
  </r>
  <r>
    <s v="CIM0317"/>
    <s v="ULSSJOSE"/>
    <x v="12"/>
    <s v="Kit fotocondutor p/impressora lexmark c746dn"/>
    <s v="LEXMARK"/>
    <s v="C746DN"/>
    <s v="Original"/>
    <n v="20000"/>
    <s v="N/A"/>
    <n v="4"/>
    <m/>
    <n v="0"/>
    <m/>
  </r>
  <r>
    <s v="CIM1388"/>
    <s v="ULSSJOSE"/>
    <x v="12"/>
    <s v="TAMBOR DE IMAGEM CORES LEXMARK CX622ADE"/>
    <s v="LEXMARK"/>
    <s v="CX622ade"/>
    <s v="Original"/>
    <n v="125000"/>
    <s v="N/A"/>
    <n v="14"/>
    <m/>
    <n v="0"/>
    <m/>
  </r>
  <r>
    <s v="CIM1389"/>
    <s v="ULSSJOSE"/>
    <x v="12"/>
    <s v="TAMBOR DE IMAGEM PRETO LEXMARK CX622ADE"/>
    <s v="LEXMARK"/>
    <s v="CX622ade"/>
    <s v="Original"/>
    <n v="125000"/>
    <s v="N/A"/>
    <n v="6"/>
    <m/>
    <n v="0"/>
    <m/>
  </r>
  <r>
    <s v="CIM0349"/>
    <s v="ULSSJOSE"/>
    <x v="12"/>
    <s v="Tambor p/ impressora lexmark cx 310 dn - preto"/>
    <s v="LEXMARK"/>
    <s v="CX310DN"/>
    <s v="Original"/>
    <n v="35000"/>
    <s v="N/A"/>
    <n v="3"/>
    <m/>
    <n v="0"/>
    <m/>
  </r>
  <r>
    <s v="CIM1387"/>
    <s v="ULSSJOSE"/>
    <x v="12"/>
    <s v="TONER COR AMARELO LEXMARK CX622ADE"/>
    <s v="LEXMARK"/>
    <s v="CX622ade"/>
    <s v="Original"/>
    <n v="6500"/>
    <s v="Sim"/>
    <n v="118"/>
    <m/>
    <n v="0"/>
    <m/>
  </r>
  <r>
    <s v="CIM1386"/>
    <s v="ULSSJOSE"/>
    <x v="12"/>
    <s v="TONER COR CIANO LEXMARK CX622ADE"/>
    <s v="LEXMARK"/>
    <s v="CX622ade"/>
    <s v="Original"/>
    <n v="6500"/>
    <s v="Sim"/>
    <n v="90"/>
    <m/>
    <n v="0"/>
    <m/>
  </r>
  <r>
    <s v="CIM1385"/>
    <s v="ULSSJOSE"/>
    <x v="12"/>
    <s v="TONER COR MAGENTA LEXMARK CX622ADE"/>
    <s v="LEXMARK"/>
    <s v="CX622ade"/>
    <s v="Original"/>
    <n v="6500"/>
    <s v="Sim"/>
    <n v="86"/>
    <m/>
    <n v="0"/>
    <m/>
  </r>
  <r>
    <s v="CIM0464"/>
    <s v="ULSSJOSE"/>
    <x v="12"/>
    <s v="TONER P/IMPRESSORA LEXMARK MS 310/510 DN / MS312"/>
    <s v="LEXMARK"/>
    <s v="MS521DN"/>
    <s v="Original"/>
    <n v="20000"/>
    <s v="Sim"/>
    <n v="58"/>
    <m/>
    <n v="0"/>
    <m/>
  </r>
  <r>
    <s v="CIM1384"/>
    <s v="ULSSJOSE"/>
    <x v="12"/>
    <s v="TONER PRETO LEXMARK CX622ADE"/>
    <s v="LEXMARK"/>
    <s v="CX622ade"/>
    <s v="Original"/>
    <n v="10000"/>
    <s v="Sim"/>
    <n v="155"/>
    <m/>
    <n v="0"/>
    <m/>
  </r>
  <r>
    <s v="CIM 1702"/>
    <s v="ULSCBeira"/>
    <x v="13"/>
    <s v="Toner Cor Preta Ref. LEX55B2000 P/IMPR. LEXMARK MOD. MS431"/>
    <s v="LEXMARK"/>
    <s v="N/A"/>
    <s v="Reciclado"/>
    <m/>
    <s v="Não"/>
    <n v="65"/>
    <m/>
    <n v="0"/>
    <m/>
  </r>
  <r>
    <s v="CIM 1737"/>
    <s v="ULSG"/>
    <x v="13"/>
    <s v="Toner 24B6035 para Impressora LEXMARK M1145,MX1145"/>
    <s v="LEXMARK"/>
    <s v="M1145"/>
    <s v="Reciclado"/>
    <n v="16000"/>
    <m/>
    <n v="90"/>
    <m/>
    <n v="0"/>
    <m/>
  </r>
  <r>
    <s v="CIM 1738"/>
    <s v="ULSG"/>
    <x v="13"/>
    <s v="Toner para Impressora LEXMARK CX825 Amarelo REF.ª 82K2HYE"/>
    <s v="LEXMARK"/>
    <s v="CX825"/>
    <s v="Reciclado"/>
    <m/>
    <m/>
    <n v="1"/>
    <m/>
    <n v="0"/>
    <m/>
  </r>
  <r>
    <s v="CIM 1739"/>
    <s v="ULSG"/>
    <x v="13"/>
    <s v="Toner para Impressora LEXMARK CX825 Ciano REF.ª 72K20C0"/>
    <s v="LEXMARK"/>
    <s v="CX825"/>
    <s v="Reciclado"/>
    <m/>
    <m/>
    <n v="1"/>
    <m/>
    <n v="0"/>
    <m/>
  </r>
  <r>
    <s v="CIM 1740"/>
    <s v="ULSG"/>
    <x v="13"/>
    <s v="Toner para Impressora LEXMARK CX825 Magenta REF.ª 82K2HME"/>
    <s v="LEXMARK"/>
    <s v="CX825"/>
    <s v="Reciclado"/>
    <m/>
    <m/>
    <n v="1"/>
    <m/>
    <n v="0"/>
    <m/>
  </r>
  <r>
    <s v="CIM 1741"/>
    <s v="ULSG"/>
    <x v="13"/>
    <s v="Toner para Impressora LEXMARK CX825 Preto REF.ª 72K20K0"/>
    <s v="LEXMARK"/>
    <s v="CX825"/>
    <s v="Reciclado"/>
    <m/>
    <m/>
    <n v="2"/>
    <m/>
    <n v="0"/>
    <m/>
  </r>
  <r>
    <s v="CIM 1850"/>
    <s v="ULSRA"/>
    <x v="13"/>
    <s v="Tambor lexmark ms310d,dn/ms312dn/ms410d,dn/ms415dn/ms510dn/ms610de (500z/500za)"/>
    <s v="LEXMARK"/>
    <s v="MS310D,DN/MS312DN/MS410D,DN/MS415DN/MS510DN/MS610de"/>
    <s v="Reciclado"/>
    <n v="60000"/>
    <s v="Não"/>
    <n v="150"/>
    <m/>
    <n v="0"/>
    <m/>
  </r>
  <r>
    <s v="CIM 1851"/>
    <s v="ULSRA"/>
    <x v="13"/>
    <s v="Toner lexmark ms310d,dn/ms312,ms410d,dn/ms510dn/ms610de,dn,dte (502h/502he)"/>
    <s v="LEXMARK"/>
    <s v="MS310D,DN/MS312,MS410D,DN/MS510DN/MS610de,DN,DTE"/>
    <s v="Reciclado"/>
    <n v="5000"/>
    <s v="Não"/>
    <n v="400"/>
    <m/>
    <n v="0"/>
    <m/>
  </r>
  <r>
    <s v="CIM 1852"/>
    <s v="ULSRA"/>
    <x v="13"/>
    <s v="Toner lexmark MS331DN"/>
    <s v="LEXMARK"/>
    <s v="MS331DN"/>
    <s v="Reciclado"/>
    <n v="1500"/>
    <s v="Não"/>
    <n v="500"/>
    <m/>
    <n v="0"/>
    <m/>
  </r>
  <r>
    <s v="CIM 1853"/>
    <s v="ULSRA"/>
    <x v="13"/>
    <s v="Unidade de Imagem lexmark MS/MX331,431,B3340,B/MB3442,M/XM1342"/>
    <s v="LEXMARK"/>
    <s v="MS331DN"/>
    <s v="Reciclado"/>
    <n v="1500"/>
    <s v="Não"/>
    <n v="200"/>
    <m/>
    <n v="0"/>
    <m/>
  </r>
  <r>
    <s v="CIM0249"/>
    <s v="ULSCBeira"/>
    <x v="13"/>
    <s v="Toner cor preta ms310 lexmark"/>
    <s v="LEXMARK"/>
    <s v="LASER LEXMARK Mod. MS310DN"/>
    <s v="Reciclado"/>
    <m/>
    <s v="Sim"/>
    <n v="20"/>
    <m/>
    <n v="0"/>
    <m/>
  </r>
  <r>
    <s v="CIM1247"/>
    <s v="ULSM"/>
    <x v="13"/>
    <s v="Toner lexmark ms312dn"/>
    <s v="LEXMARK"/>
    <s v="51F2H00"/>
    <s v="Reciclado"/>
    <s v="5 000 pág."/>
    <s v="Sim"/>
    <n v="70"/>
    <m/>
    <n v="0"/>
    <m/>
  </r>
  <r>
    <s v="CIM 1603"/>
    <s v="ICAD"/>
    <x v="14"/>
    <s v="Tambor Imagem p/Impressora oki b412/b432/b562/mb472/mb492/mb562"/>
    <s v="OKI"/>
    <s v="OKI B412/B432/B562/MB472/MB492/MB562"/>
    <s v="Original"/>
    <n v="25000"/>
    <s v="Não"/>
    <n v="12"/>
    <m/>
    <n v="0"/>
    <m/>
  </r>
  <r>
    <s v="CIM 1604"/>
    <s v="ICAD"/>
    <x v="14"/>
    <s v="Tambor Imagem p/Impressora oki b412/b432/b562/mb472/mb492/mb562"/>
    <s v="OKI"/>
    <s v="B412"/>
    <s v="Original"/>
    <n v="2000"/>
    <s v="Sim"/>
    <n v="15"/>
    <m/>
    <n v="0"/>
    <m/>
  </r>
  <r>
    <s v="CIM 1605"/>
    <s v="ICAD"/>
    <x v="14"/>
    <s v="Toner Preto b432/b512/mb492/mb562 oki"/>
    <s v="OKI"/>
    <s v="B432/B512/MB492/MB562"/>
    <s v="Original"/>
    <m/>
    <s v="Não"/>
    <n v="15"/>
    <m/>
    <n v="0"/>
    <m/>
  </r>
  <r>
    <s v="CIM 1803"/>
    <s v="ULSO"/>
    <x v="14"/>
    <s v="Tambor OKI B430DN"/>
    <s v="OKI"/>
    <s v="B430DN"/>
    <s v="Original"/>
    <m/>
    <m/>
    <n v="5"/>
    <m/>
    <n v="0"/>
    <m/>
  </r>
  <r>
    <s v="CIM 1804"/>
    <s v="ULSO"/>
    <x v="14"/>
    <s v="Toner Preto OKI B412/B432/B512/MB492/MB563"/>
    <s v="OKI"/>
    <s v="B412/B432/B512/MB492/MB563"/>
    <s v="Original"/>
    <m/>
    <m/>
    <n v="3"/>
    <m/>
    <n v="0"/>
    <m/>
  </r>
  <r>
    <s v="CIM 1805"/>
    <s v="ULSO"/>
    <x v="14"/>
    <s v="Toner Preto OKI B430DN"/>
    <s v="OKI"/>
    <s v="B430DN"/>
    <s v="Original"/>
    <m/>
    <s v="Sim"/>
    <n v="10"/>
    <m/>
    <n v="0"/>
    <m/>
  </r>
  <r>
    <s v="CIM 1806"/>
    <s v="ULSO"/>
    <x v="14"/>
    <s v="Toner Preto OKI B4400"/>
    <s v="OKI"/>
    <s v="B4400"/>
    <s v="Original"/>
    <m/>
    <s v="Sim"/>
    <n v="3"/>
    <m/>
    <n v="0"/>
    <m/>
  </r>
  <r>
    <s v="CIM 1807"/>
    <s v="ULSO"/>
    <x v="14"/>
    <s v="Toner Preto OKI B4600"/>
    <s v="OKI"/>
    <s v="B4600"/>
    <s v="Original"/>
    <m/>
    <s v="Sim"/>
    <n v="7"/>
    <m/>
    <n v="0"/>
    <m/>
  </r>
  <r>
    <s v="CIM 1835"/>
    <s v="ULSPVVC"/>
    <x v="14"/>
    <s v="Kit de Tambor 44968301 oki"/>
    <s v="OKI"/>
    <s v="C332EP C3x1/C5x1/MC3x2/MC562"/>
    <s v="Original"/>
    <s v="30 000 preto e 20 000 cores"/>
    <s v="Sim"/>
    <n v="6"/>
    <m/>
    <n v="0"/>
    <m/>
  </r>
  <r>
    <s v="CIM 1836"/>
    <s v="ULSPVVC"/>
    <x v="14"/>
    <s v="Toner 46508713 - yellow oki"/>
    <s v="OKI"/>
    <s v="C332/M363"/>
    <s v="Original"/>
    <n v="1500"/>
    <s v="Sim"/>
    <n v="20"/>
    <m/>
    <n v="0"/>
    <m/>
  </r>
  <r>
    <s v="CIM 1837"/>
    <s v="ULSPVVC"/>
    <x v="14"/>
    <s v="Toner 46508714 - Magenta oki"/>
    <s v="OKI"/>
    <s v="C332/M363"/>
    <s v="Original"/>
    <n v="1500"/>
    <s v="Sim"/>
    <n v="20"/>
    <m/>
    <n v="0"/>
    <m/>
  </r>
  <r>
    <s v="CIM 1838"/>
    <s v="ULSPVVC"/>
    <x v="14"/>
    <s v="Toner 46508715 - Cyan oki"/>
    <s v="OKI"/>
    <s v="C332/M363"/>
    <s v="Original"/>
    <n v="1500"/>
    <s v="Sim"/>
    <n v="20"/>
    <m/>
    <n v="0"/>
    <m/>
  </r>
  <r>
    <s v="CIM 1839"/>
    <s v="ULSPVVC"/>
    <x v="14"/>
    <s v="Toner 46508716 - Preto oki"/>
    <s v="OKI"/>
    <s v="C332/M363,"/>
    <s v="Original"/>
    <n v="1500"/>
    <s v="Sim"/>
    <n v="20"/>
    <m/>
    <n v="0"/>
    <m/>
  </r>
  <r>
    <s v="CIM 1903"/>
    <s v="ULSSJOSE"/>
    <x v="14"/>
    <s v="Fita OKI MICROLINE 5520/5521/5590/5591"/>
    <s v="OKI"/>
    <s v="MICROLINE 5590"/>
    <s v="Original"/>
    <s v="N/A"/>
    <s v="N/A"/>
    <n v="6"/>
    <m/>
    <n v="0"/>
    <m/>
  </r>
  <r>
    <s v="CIM 1904"/>
    <s v="ULSSJOSE"/>
    <x v="14"/>
    <s v="Fita P/ Impressora OKI MICROLINE 1190"/>
    <s v="OKI"/>
    <s v="MICROLINE 1190"/>
    <s v="Original"/>
    <s v="N/A"/>
    <s v="N/A"/>
    <n v="22"/>
    <m/>
    <n v="0"/>
    <m/>
  </r>
  <r>
    <s v="CIM 1905"/>
    <s v="ULSSJOSE"/>
    <x v="14"/>
    <s v="Fusor Impressora OKI C5650"/>
    <s v="OKI"/>
    <s v="C5650"/>
    <s v="Original"/>
    <n v="60000"/>
    <s v="N/A"/>
    <n v="1"/>
    <m/>
    <n v="0"/>
    <m/>
  </r>
  <r>
    <s v="CIM 1906"/>
    <s v="ULSSJOSE"/>
    <x v="14"/>
    <s v="Tambor COMPATIVEL para AS ImpressoraS OKI B 840 DN"/>
    <s v="OKI"/>
    <s v="B840DN"/>
    <s v="Original"/>
    <s v="N/A"/>
    <s v="N/A"/>
    <n v="5"/>
    <m/>
    <n v="0"/>
    <m/>
  </r>
  <r>
    <s v="CIM 1907"/>
    <s v="ULSSJOSE"/>
    <x v="14"/>
    <s v="Tambor OKI 4250/4350N"/>
    <s v="OKI"/>
    <s v="B4250 / B4350"/>
    <s v="Original"/>
    <n v="25000"/>
    <s v="N/A"/>
    <n v="17"/>
    <m/>
    <n v="0"/>
    <m/>
  </r>
  <r>
    <s v="CIM 1908"/>
    <s v="ULSSJOSE"/>
    <x v="14"/>
    <s v="Toner OKI C3200/C3200N Preto"/>
    <s v="OKI"/>
    <s v="C3200N"/>
    <s v="Original"/>
    <n v="2500"/>
    <s v="Sim"/>
    <n v="2"/>
    <m/>
    <n v="0"/>
    <m/>
  </r>
  <r>
    <s v="CIM 1909"/>
    <s v="ULSSJOSE"/>
    <x v="14"/>
    <s v="Toner OKI C3200N Magenta"/>
    <s v="OKI"/>
    <s v="C3200N"/>
    <s v="Original"/>
    <n v="2500"/>
    <s v="Sim"/>
    <n v="1"/>
    <m/>
    <n v="0"/>
    <m/>
  </r>
  <r>
    <s v="CIM0804"/>
    <s v="ULSO"/>
    <x v="14"/>
    <s v="Tambor de imagem oki b432/mb492"/>
    <s v="OKI"/>
    <s v="B432/MB492"/>
    <s v="Original"/>
    <m/>
    <s v="Não"/>
    <n v="28"/>
    <m/>
    <n v="0"/>
    <m/>
  </r>
  <r>
    <s v="CIM0809"/>
    <s v="ULSO"/>
    <x v="14"/>
    <s v="Toner preto b432/b512/mb492/mb562 oki"/>
    <s v="OKI"/>
    <s v="B432/B512/MB492/MB562"/>
    <s v="Original"/>
    <m/>
    <s v="Não"/>
    <n v="43"/>
    <m/>
    <n v="0"/>
    <m/>
  </r>
  <r>
    <s v="CIM1445"/>
    <s v="ULSSA"/>
    <x v="14"/>
    <s v="Tambor ref. 44574302 oki b432"/>
    <s v="OKI"/>
    <s v=" B432"/>
    <s v="Original"/>
    <n v="12000"/>
    <s v="Sim"/>
    <n v="250"/>
    <m/>
    <n v="0"/>
    <n v="522644535"/>
  </r>
  <r>
    <s v="CIM1444"/>
    <s v="ULSSA"/>
    <x v="14"/>
    <s v="Toner xxl ref.45807111 oki b432"/>
    <s v="OKI"/>
    <s v=" B432"/>
    <s v="Original"/>
    <n v="7000"/>
    <s v="Sim"/>
    <n v="1500"/>
    <m/>
    <n v="0"/>
    <n v="522204599"/>
  </r>
  <r>
    <s v="CIM0454"/>
    <s v="ULSSJOSE"/>
    <x v="14"/>
    <s v="Fita de transferencia p/impressora oki mc 363 dn"/>
    <s v="OKI"/>
    <s v="MC363DN"/>
    <s v="Original"/>
    <n v="60000"/>
    <s v="N/A"/>
    <n v="6"/>
    <m/>
    <n v="0"/>
    <m/>
  </r>
  <r>
    <s v="CIM0455"/>
    <s v="ULSSJOSE"/>
    <x v="14"/>
    <s v="Fusor p/impressora oki mc 363 dn"/>
    <s v="OKI"/>
    <s v="MC363DN"/>
    <s v="Original"/>
    <n v="60000"/>
    <s v="N/A"/>
    <n v="2"/>
    <m/>
    <n v="0"/>
    <m/>
  </r>
  <r>
    <s v="CIM0284"/>
    <s v="ULSSJOSE"/>
    <x v="14"/>
    <s v="Fusor para impressora oki b840 dn                                               "/>
    <s v="OKI"/>
    <s v="B840DN"/>
    <s v="Original"/>
    <s v="N/A"/>
    <s v="N/A"/>
    <n v="4"/>
    <m/>
    <n v="0"/>
    <m/>
  </r>
  <r>
    <s v="CIM0449"/>
    <s v="ULSSJOSE"/>
    <x v="14"/>
    <s v="Tambor p/impressora oki mb 492 dn"/>
    <s v="OKI"/>
    <s v="MB492DN"/>
    <s v="Original"/>
    <n v="20000"/>
    <s v="N/A"/>
    <n v="30"/>
    <m/>
    <n v="0"/>
    <m/>
  </r>
  <r>
    <s v="CIM0456"/>
    <s v="ULSSJOSE"/>
    <x v="14"/>
    <s v="Tambor p/impressora oki mc 363 dn"/>
    <s v="OKI"/>
    <s v="MC363DN"/>
    <s v="Original"/>
    <n v="50000"/>
    <s v="N/A"/>
    <n v="13"/>
    <m/>
    <n v="0"/>
    <m/>
  </r>
  <r>
    <s v="CIM0283"/>
    <s v="ULSSJOSE"/>
    <x v="14"/>
    <s v="Toner p/impressora oki - b 840 dn"/>
    <s v="OKI"/>
    <s v="B840DN"/>
    <s v="Original"/>
    <n v="19500"/>
    <s v="Não"/>
    <n v="22"/>
    <m/>
    <n v="0"/>
    <m/>
  </r>
  <r>
    <s v="CIM0448"/>
    <s v="ULSSJOSE"/>
    <x v="14"/>
    <s v="Toner p/impressora oki mb 492 dn"/>
    <s v="OKI"/>
    <s v="MB492DN"/>
    <s v="Original"/>
    <n v="10000"/>
    <s v="Sim"/>
    <n v="99"/>
    <m/>
    <n v="0"/>
    <m/>
  </r>
  <r>
    <s v="CIM0450"/>
    <s v="ULSSJOSE"/>
    <x v="14"/>
    <s v="Toner p/impressora oki mc 363 dn - amarelo"/>
    <s v="OKI"/>
    <s v="MC363DN"/>
    <s v="Original"/>
    <n v="2500"/>
    <s v="Sim"/>
    <n v="70"/>
    <m/>
    <n v="0"/>
    <m/>
  </r>
  <r>
    <s v="CIM0451"/>
    <s v="ULSSJOSE"/>
    <x v="14"/>
    <s v="Toner p/impressora oki mc 363 dn - cyan"/>
    <s v="OKI"/>
    <s v="MC363DN"/>
    <s v="Original"/>
    <n v="2500"/>
    <s v="Sim"/>
    <n v="76"/>
    <m/>
    <n v="0"/>
    <m/>
  </r>
  <r>
    <s v="CIM0452"/>
    <s v="ULSSJOSE"/>
    <x v="14"/>
    <s v="Toner p/impressora oki mc 363 dn - magenta"/>
    <s v="OKI"/>
    <s v="MC363DN"/>
    <s v="Original"/>
    <n v="2500"/>
    <s v="Sim"/>
    <n v="69"/>
    <m/>
    <n v="0"/>
    <m/>
  </r>
  <r>
    <s v="CIM0453"/>
    <s v="ULSSJOSE"/>
    <x v="14"/>
    <s v="Toner p/impressora oki mc 363 dn - preto"/>
    <s v="OKI"/>
    <s v="MC363DN"/>
    <s v="Original"/>
    <n v="3000"/>
    <s v="Sim"/>
    <n v="76"/>
    <m/>
    <n v="0"/>
    <m/>
  </r>
  <r>
    <s v="CIM 1703"/>
    <s v="ULSCBeira"/>
    <x v="15"/>
    <s v="Tambor Preto Ref. OKI 44574302 P/Impress. OKI MOD. B432"/>
    <s v="OKI"/>
    <s v="N/A"/>
    <s v="Reciclado"/>
    <m/>
    <s v="Não"/>
    <n v="10"/>
    <m/>
    <n v="0"/>
    <m/>
  </r>
  <r>
    <s v="CIM 1704"/>
    <s v="ULSCBeira"/>
    <x v="15"/>
    <s v="Toner Preto Ref. OKI45807102 P/Impress. OKI MOD. B432"/>
    <s v="OKI"/>
    <s v="N/A"/>
    <s v="Reciclado"/>
    <m/>
    <s v="Não"/>
    <n v="120"/>
    <m/>
    <n v="0"/>
    <m/>
  </r>
  <r>
    <s v="CIM 1815"/>
    <s v="ULSPVVC"/>
    <x v="15"/>
    <s v="Tambor 44574302 oki"/>
    <s v="OKI"/>
    <s v="B432dn  "/>
    <s v="Reciclado"/>
    <n v="25000"/>
    <s v="Sim"/>
    <n v="12"/>
    <m/>
    <n v="0"/>
    <m/>
  </r>
  <r>
    <s v="CIM 1816"/>
    <s v="ULSPVVC"/>
    <x v="15"/>
    <s v="Toner 44315305 - Amarelo oki"/>
    <s v="OKI"/>
    <s v="C610"/>
    <s v="Reciclado"/>
    <n v="2000"/>
    <s v="Sim"/>
    <n v="6"/>
    <m/>
    <n v="0"/>
    <m/>
  </r>
  <r>
    <s v="CIM 1817"/>
    <s v="ULSPVVC"/>
    <x v="15"/>
    <s v="Toner 44315306 - Magenta oki"/>
    <s v="OKI"/>
    <s v="C610"/>
    <s v="Reciclado"/>
    <n v="2000"/>
    <s v="Sim"/>
    <n v="6"/>
    <m/>
    <n v="0"/>
    <m/>
  </r>
  <r>
    <s v="CIM 1818"/>
    <s v="ULSPVVC"/>
    <x v="15"/>
    <s v="Toner 44315307 - Cyan oki"/>
    <s v="OKI"/>
    <s v=" C610"/>
    <s v="Reciclado"/>
    <n v="2000"/>
    <s v="Sim"/>
    <n v="6"/>
    <m/>
    <n v="0"/>
    <m/>
  </r>
  <r>
    <s v="CIM 1819"/>
    <s v="ULSPVVC"/>
    <x v="15"/>
    <s v="Toner 44315308 - Preto oki"/>
    <s v="OKI"/>
    <s v="C610"/>
    <s v="Reciclado"/>
    <n v="8000"/>
    <s v="Sim"/>
    <n v="10"/>
    <m/>
    <n v="0"/>
    <m/>
  </r>
  <r>
    <s v="CIM 1820"/>
    <s v="ULSPVVC"/>
    <x v="15"/>
    <s v="Toner 45807102 oki"/>
    <s v="OKI"/>
    <s v="B432dn"/>
    <s v="Reciclado"/>
    <s v="Sim"/>
    <s v="Sim"/>
    <n v="20"/>
    <m/>
    <n v="0"/>
    <m/>
  </r>
  <r>
    <s v="CIM 1854"/>
    <s v="ULSRA"/>
    <x v="15"/>
    <s v="Tambor oki b411/b412/b431/b432/b512/mb461/mb471/mb491/mb472/mb492/mb562 - Preto"/>
    <s v="OKI"/>
    <s v="B411/B412/B431/B432/B512/MB461/MB471/MB491/MB472/MB492/MB562"/>
    <s v="Reciclado"/>
    <n v="25000"/>
    <s v="Não"/>
    <n v="300"/>
    <m/>
    <n v="0"/>
    <m/>
  </r>
  <r>
    <s v="CIM 1855"/>
    <s v="ULSRA"/>
    <x v="15"/>
    <s v="Toner oki b412/b432/b512/mb472/mb492/mb562 - Preto"/>
    <s v="OKI"/>
    <s v="B412/B432/B512/MB472/MB492/MB562"/>
    <s v="Reciclado"/>
    <n v="3000"/>
    <s v="Não"/>
    <n v="1000"/>
    <m/>
    <n v="0"/>
    <m/>
  </r>
  <r>
    <s v="CIM1263"/>
    <s v="ULSM"/>
    <x v="15"/>
    <s v="Tambor oki b432dn"/>
    <s v="OKI"/>
    <n v="44574302"/>
    <s v="Reciclado"/>
    <s v="25 000 pág"/>
    <s v="Sim"/>
    <n v="50"/>
    <m/>
    <n v="0"/>
    <m/>
  </r>
  <r>
    <s v="CIM1252"/>
    <s v="ULSM"/>
    <x v="15"/>
    <s v="Tambor p/impressora oki b412dn"/>
    <s v="OKI"/>
    <n v="44574302"/>
    <s v="Reciclado"/>
    <s v="25 000 pág."/>
    <s v="Sim"/>
    <n v="100"/>
    <m/>
    <n v="0"/>
    <m/>
  </r>
  <r>
    <s v="CIM1250"/>
    <s v="ULSM"/>
    <x v="15"/>
    <s v="Toner oki b432dn"/>
    <s v="OKI"/>
    <n v="45807111"/>
    <s v="Reciclado"/>
    <s v="12 000 pág."/>
    <s v="Sim"/>
    <n v="65"/>
    <m/>
    <n v="0"/>
    <m/>
  </r>
  <r>
    <s v="CIM1233"/>
    <s v="ULSM"/>
    <x v="15"/>
    <s v="Toner p/impressora oki b412dn"/>
    <s v="OKI"/>
    <n v="45807106"/>
    <s v="Reciclado"/>
    <s v="7 000 pág."/>
    <s v="Sim"/>
    <n v="280"/>
    <m/>
    <n v="0"/>
    <m/>
  </r>
  <r>
    <s v="CIM 1690"/>
    <s v="ULSASI"/>
    <x v="16"/>
    <s v="TONER 117A AMARELO"/>
    <s v="OUTROS"/>
    <s v="N/A"/>
    <s v="Original"/>
    <m/>
    <m/>
    <n v="2"/>
    <m/>
    <n v="0"/>
    <m/>
  </r>
  <r>
    <s v="CIM 1691"/>
    <s v="ULSASI"/>
    <x v="16"/>
    <s v="TONER 117A CIANO"/>
    <s v="OUTROS"/>
    <s v="N/A"/>
    <s v="Original"/>
    <m/>
    <m/>
    <n v="2"/>
    <m/>
    <n v="0"/>
    <m/>
  </r>
  <r>
    <s v="CIM 1692"/>
    <s v="ULSASI"/>
    <x v="16"/>
    <s v="TONER 117A MAGENTA"/>
    <s v="OUTROS"/>
    <s v="N/A"/>
    <s v="Original"/>
    <m/>
    <m/>
    <n v="2"/>
    <m/>
    <n v="0"/>
    <m/>
  </r>
  <r>
    <s v="CIM 1693"/>
    <s v="ULSASI"/>
    <x v="16"/>
    <s v="TONER 117A PRETO"/>
    <s v="OUTROS"/>
    <s v="N/A"/>
    <s v="Original"/>
    <m/>
    <m/>
    <n v="2"/>
    <m/>
    <n v="0"/>
    <m/>
  </r>
  <r>
    <s v="CIM 1694"/>
    <s v="ULSASI"/>
    <x v="16"/>
    <s v="TONER 203A CF 540A PRETO"/>
    <s v="OUTROS"/>
    <s v="N/A"/>
    <s v="Original"/>
    <m/>
    <m/>
    <n v="1"/>
    <m/>
    <n v="0"/>
    <m/>
  </r>
  <r>
    <s v="CIM 1695"/>
    <s v="ULSASI"/>
    <x v="16"/>
    <s v="TONER 37X"/>
    <s v="OUTROS"/>
    <s v="N/A"/>
    <s v="Original"/>
    <m/>
    <m/>
    <n v="20"/>
    <m/>
    <n v="0"/>
    <m/>
  </r>
  <r>
    <s v="CIM 1696"/>
    <s v="ULSASI"/>
    <x v="16"/>
    <s v="TONER CE 505 A"/>
    <s v="OUTROS"/>
    <s v="N/A"/>
    <s v="Original"/>
    <m/>
    <m/>
    <n v="75"/>
    <m/>
    <n v="0"/>
    <m/>
  </r>
  <r>
    <s v="CIM 1697"/>
    <s v="ULSASI"/>
    <x v="16"/>
    <s v="TONER LASER JET M209DW  W1350X"/>
    <s v="OUTROS"/>
    <s v="N/A"/>
    <s v="Original"/>
    <m/>
    <m/>
    <n v="300"/>
    <m/>
    <n v="0"/>
    <m/>
  </r>
  <r>
    <s v="CIM 1698"/>
    <s v="ULSASI"/>
    <x v="16"/>
    <s v="TONER TK1160 KYOCERA ECOSYS P2040DN PRET"/>
    <s v="OUTROS"/>
    <s v="N/A"/>
    <s v="Original"/>
    <m/>
    <m/>
    <n v="81"/>
    <m/>
    <n v="0"/>
    <m/>
  </r>
  <r>
    <s v="CIM1056"/>
    <s v="IPOC"/>
    <x v="16"/>
    <s v="Toner pa210 p/imp. Pantum p250w"/>
    <s v="OUTROS"/>
    <s v="PANTUM P250W"/>
    <s v="Original"/>
    <n v="1600"/>
    <s v="Sim"/>
    <n v="108"/>
    <m/>
    <n v="0"/>
    <m/>
  </r>
  <r>
    <s v="CIM1086"/>
    <s v="IPOL"/>
    <x v="16"/>
    <s v="Tinteiro p/impressora p/ maq lavar e desinf miele g7898"/>
    <s v="OUTROS"/>
    <s v="MIELE G7898"/>
    <s v="Original"/>
    <m/>
    <m/>
    <n v="10"/>
    <m/>
    <n v="0"/>
    <n v="5108639100"/>
  </r>
  <r>
    <s v="CIM1278"/>
    <s v="ULSAA"/>
    <x v="16"/>
    <s v="Cd-r imprimivel 52 x 700 mb/80 min ink jet full suface"/>
    <s v="OUTROS"/>
    <s v="Epson DiscProdecr PP 100 II"/>
    <s v="Original"/>
    <m/>
    <s v="Não"/>
    <n v="9000"/>
    <m/>
    <n v="0"/>
    <m/>
  </r>
  <r>
    <s v="CIM1283"/>
    <s v="ULSAA"/>
    <x v="16"/>
    <s v="Fita carbono 100% cera zebra 2100 60mmx450mts."/>
    <s v="OUTROS"/>
    <s v="S4M ZPL"/>
    <s v="Original"/>
    <m/>
    <s v="Não"/>
    <n v="30"/>
    <m/>
    <n v="0"/>
    <m/>
  </r>
  <r>
    <s v="CIM1296"/>
    <s v="ULSAA"/>
    <x v="16"/>
    <s v="Fita p maquina de selar hawo hm 750-2020"/>
    <s v="OUTROS"/>
    <s v="750-2020"/>
    <s v="Original"/>
    <m/>
    <s v="Não"/>
    <n v="20"/>
    <m/>
    <n v="0"/>
    <m/>
  </r>
  <r>
    <s v="CIM1286"/>
    <s v="ULSAA"/>
    <x v="16"/>
    <s v="Fita preta datador-numerador eletrico - modelo etp-20"/>
    <s v="OUTROS"/>
    <s v=" ETP-20"/>
    <s v="Original"/>
    <m/>
    <s v="Não"/>
    <n v="8"/>
    <m/>
    <n v="0"/>
    <m/>
  </r>
  <r>
    <s v="CIM1297"/>
    <s v="ULSAA"/>
    <x v="16"/>
    <s v="Tinta preta rz 200/300 - s4253e"/>
    <s v="OUTROS"/>
    <s v="370EP"/>
    <s v="Original"/>
    <m/>
    <s v="Não"/>
    <n v="12"/>
    <m/>
    <n v="0"/>
    <m/>
  </r>
  <r>
    <s v="CIM0794"/>
    <s v="ULSO"/>
    <x v="16"/>
    <s v="Toner preto p2500w pantum"/>
    <s v="OUTROS"/>
    <s v="P2500W"/>
    <s v="Original"/>
    <m/>
    <s v="Não"/>
    <n v="68"/>
    <m/>
    <n v="0"/>
    <m/>
  </r>
  <r>
    <s v="CIM 1606"/>
    <s v="IPOC"/>
    <x v="17"/>
    <s v="DRUM KIT P/IMP PANTUM P3010DW - DL-410"/>
    <s v="PANTUM"/>
    <s v="PANTUM P3010DW - DL-410"/>
    <s v="Original"/>
    <m/>
    <m/>
    <n v="2"/>
    <m/>
    <n v="0"/>
    <m/>
  </r>
  <r>
    <s v="CIM 1607"/>
    <s v="IPOC"/>
    <x v="17"/>
    <s v="Toner TL-410X P/IMP. PANTUM P3010DW"/>
    <s v="PANTUM"/>
    <s v="PANTUM P3010DW"/>
    <s v="Original"/>
    <m/>
    <m/>
    <n v="30"/>
    <m/>
    <n v="0"/>
    <m/>
  </r>
  <r>
    <s v="CIM1058"/>
    <s v="IPOC"/>
    <x v="18"/>
    <s v="Toner p/imp. Ricoh aficio sp c310e amarelo"/>
    <s v="RICOH"/>
    <s v="IMP. RICOH AFICIO SP C310E "/>
    <s v="Original"/>
    <n v="6000"/>
    <s v="Sim"/>
    <n v="3"/>
    <m/>
    <n v="0"/>
    <m/>
  </r>
  <r>
    <s v="CIM1059"/>
    <s v="IPOC"/>
    <x v="18"/>
    <s v="Toner p/imp. Ricoh aficio sp c310e cyan"/>
    <s v="RICOH"/>
    <s v="IMP. RICOH AFICIO SP C310E "/>
    <s v="Original"/>
    <n v="6000"/>
    <s v="Sim"/>
    <n v="3"/>
    <m/>
    <n v="0"/>
    <m/>
  </r>
  <r>
    <s v="CIM1060"/>
    <s v="IPOC"/>
    <x v="18"/>
    <s v="Toner p/imp. Ricoh aficio sp c310e magenta"/>
    <s v="RICOH"/>
    <s v="IMP. RICOH AFICIO SP C310E "/>
    <s v="Original"/>
    <n v="6000"/>
    <s v="Sim"/>
    <n v="3"/>
    <m/>
    <n v="0"/>
    <m/>
  </r>
  <r>
    <s v="CIM1057"/>
    <s v="IPOC"/>
    <x v="18"/>
    <s v="Toner p/imp. Ricoh aficio sp c310e preto "/>
    <s v="RICOH"/>
    <s v="IMP. RICOH AFICIO SP C310E "/>
    <s v="Original"/>
    <n v="2800"/>
    <s v="Sim"/>
    <n v="10"/>
    <m/>
    <n v="0"/>
    <m/>
  </r>
  <r>
    <s v="CIM 1910"/>
    <s v="ULSSJOSE"/>
    <x v="19"/>
    <s v="Tinteiro Amarelo 500ML P/ PLOTTER ECOSOLVENTE ROLAND TRUEVIS SG3-540(TR2-YE)"/>
    <s v="ROLAND"/>
    <s v="TRUEVIS SG3-540"/>
    <s v="Original"/>
    <s v="N/A"/>
    <s v="N/A"/>
    <n v="4"/>
    <m/>
    <n v="0"/>
    <m/>
  </r>
  <r>
    <s v="CIM 1911"/>
    <s v="ULSSJOSE"/>
    <x v="19"/>
    <s v="Tinteiro Ciano 500ML P/ PLOTTER ECOSOLVENTE ROLAND TRUEVIS SG3-540(TR2-CY)"/>
    <s v="ROLAND"/>
    <s v="TRUEVIS SG3-540"/>
    <s v="Original"/>
    <s v="N/A"/>
    <s v="N/A"/>
    <n v="3"/>
    <m/>
    <n v="0"/>
    <m/>
  </r>
  <r>
    <s v="CIM 1912"/>
    <s v="ULSSJOSE"/>
    <x v="19"/>
    <s v="Tinteiro Magenta 500ML P/ PLOTTER ECOSOLVENTE ROLAND TRUEVIS SG3-540(TR2-MG)"/>
    <s v="ROLAND"/>
    <s v="TRUEVIS SG3-540"/>
    <s v="Original"/>
    <s v="N/A"/>
    <s v="N/A"/>
    <n v="3"/>
    <m/>
    <n v="0"/>
    <m/>
  </r>
  <r>
    <s v="CIM 1913"/>
    <s v="ULSSJOSE"/>
    <x v="19"/>
    <s v="Tinteiro Preto 500ML P/ PLOTTER ECOSOLVENTE ROLAND TRUEVIS SG3-540(TR2-BK)"/>
    <s v="ROLAND"/>
    <s v="TRUEVIS SG3-540"/>
    <s v="Original"/>
    <s v="N/A"/>
    <s v="N/A"/>
    <n v="3"/>
    <m/>
    <n v="0"/>
    <m/>
  </r>
  <r>
    <s v="CIM 1914"/>
    <s v="ULSSJOSE"/>
    <x v="20"/>
    <s v="Toner SAMSUNG M3820ND MLT-D203E Preto"/>
    <s v="SAMSUNG"/>
    <s v="M3820ND"/>
    <s v="Original"/>
    <n v="9500"/>
    <s v="Sim"/>
    <n v="16"/>
    <m/>
    <n v="0"/>
    <m/>
  </r>
  <r>
    <s v="CIM1064"/>
    <s v="IPOC"/>
    <x v="20"/>
    <s v="Toner p/imp.samsung ml-2160 "/>
    <s v="SAMSUNG"/>
    <s v="IMP.SAMSUNG ML-2160 "/>
    <s v="Original"/>
    <n v="1500"/>
    <s v="Sim"/>
    <n v="4"/>
    <m/>
    <n v="0"/>
    <m/>
  </r>
  <r>
    <s v="CIM1392"/>
    <s v="ULSSJOSE"/>
    <x v="21"/>
    <s v="CASSETE DE FITA PARA IMPRESSORA SARTORIUS YDP20-OCE"/>
    <s v="SARTORIUS"/>
    <s v="YDP20-OCE"/>
    <s v="Original"/>
    <s v="N/A"/>
    <s v="N/A"/>
    <n v="10"/>
    <m/>
    <n v="0"/>
    <m/>
  </r>
  <r>
    <s v="CIM 1915"/>
    <s v="ULSSJOSE"/>
    <x v="22"/>
    <s v="Tambor P/ Impressora UTAX P-4020 DN / KYOCERA ECOSYS 2040 DN"/>
    <s v="UTAX"/>
    <s v="P-4020 DN"/>
    <s v="Original"/>
    <n v="100000"/>
    <s v="N/A"/>
    <n v="8"/>
    <m/>
    <n v="0"/>
    <m/>
  </r>
  <r>
    <s v="CIM 1916"/>
    <s v="ULSSJOSE"/>
    <x v="22"/>
    <s v="Toner P/Impressora UTAX P-4020 DN (PK-1011)"/>
    <s v="UTAX"/>
    <s v="P-4020DN"/>
    <s v="Original"/>
    <n v="7000"/>
    <s v="Não"/>
    <n v="56"/>
    <m/>
    <n v="0"/>
    <m/>
  </r>
  <r>
    <s v="CIM 1808"/>
    <s v="ULSO"/>
    <x v="23"/>
    <s v="Toner Cyan c400v dnm xerox"/>
    <s v="XEROX"/>
    <s v="C400V DNM"/>
    <s v="Original"/>
    <m/>
    <s v="Não"/>
    <n v="10"/>
    <m/>
    <n v="0"/>
    <m/>
  </r>
  <r>
    <s v="CIM0806"/>
    <s v="ULSO"/>
    <x v="23"/>
    <s v="Toner amarelo c400v dnm xerox"/>
    <s v="XEROX"/>
    <s v="C400V DNM"/>
    <s v="Original"/>
    <m/>
    <s v="Não"/>
    <n v="10"/>
    <m/>
    <n v="0"/>
    <m/>
  </r>
  <r>
    <s v="CIM0807"/>
    <s v="ULSO"/>
    <x v="23"/>
    <s v="Toner magenta c400v dnm xerox"/>
    <s v="XEROX"/>
    <s v="C400V DNM"/>
    <s v="Original"/>
    <m/>
    <s v="Não"/>
    <n v="10"/>
    <m/>
    <n v="0"/>
    <m/>
  </r>
  <r>
    <s v="CIM0808"/>
    <s v="ULSO"/>
    <x v="23"/>
    <s v="Toner preto c400v dnm xerox"/>
    <s v="XEROX"/>
    <s v="C400V DNM"/>
    <s v="Original"/>
    <m/>
    <s v="Não"/>
    <n v="17"/>
    <m/>
    <n v="0"/>
    <m/>
  </r>
  <r>
    <s v="CIM1422"/>
    <s v="ULSO"/>
    <x v="23"/>
    <s v="Toner preto XEROX Phaser 3635 MFP"/>
    <s v="XEROX"/>
    <s v="Phaser 3635 MFP"/>
    <s v="Original"/>
    <m/>
    <m/>
    <n v="3"/>
    <m/>
    <n v="0"/>
    <m/>
  </r>
  <r>
    <s v="CIM1474"/>
    <s v="ULSSA"/>
    <x v="23"/>
    <s v="TONER XEROX 3330 (106R03624) - CAP. SUP."/>
    <s v="XEROX"/>
    <m/>
    <s v="Original"/>
    <m/>
    <s v="Não"/>
    <n v="200"/>
    <m/>
    <n v="0"/>
    <n v="522204802"/>
  </r>
  <r>
    <s v="CIM 1608"/>
    <s v="IPOC"/>
    <x v="24"/>
    <s v="Fita Transferencia Termica CERA/RESINA P/IMP. ZEBRA ZD421, 33MM X 74MTS"/>
    <s v="ZEBRA"/>
    <s v="ZEBRA ZD421"/>
    <s v="Original"/>
    <m/>
    <m/>
    <n v="72"/>
    <m/>
    <n v="0"/>
    <m/>
  </r>
  <r>
    <s v="CIM 1609"/>
    <s v="IPOC"/>
    <x v="24"/>
    <s v="Fita Transferencia Termica CERA/RESINA P/IMP. ZEBRA ZD421C, 110MM X 74MTS"/>
    <s v="ZEBRA"/>
    <s v="ZEBRA ZD421C"/>
    <s v="Original"/>
    <m/>
    <m/>
    <n v="210"/>
    <m/>
    <n v="0"/>
    <m/>
  </r>
  <r>
    <s v="CIM 1699"/>
    <s v="ULSASI"/>
    <x v="24"/>
    <s v="FITA CARBONO IMP ZEBRA GK420D 110MMX300M"/>
    <s v="ZEBRA"/>
    <s v="N/A"/>
    <s v="Original"/>
    <m/>
    <m/>
    <n v="665"/>
    <m/>
    <n v="0"/>
    <m/>
  </r>
  <r>
    <s v="CIM 1700"/>
    <s v="ULSASI"/>
    <x v="24"/>
    <s v="FITA CARBONO ZEBRA 55MMX74 METROS"/>
    <s v="ZEBRA"/>
    <s v="N/A"/>
    <s v="Original"/>
    <m/>
    <m/>
    <n v="40"/>
    <m/>
    <n v="0"/>
    <m/>
  </r>
  <r>
    <s v="CIM 1701"/>
    <s v="ULSASI"/>
    <x v="24"/>
    <s v="Rolo fita carbono (110mmx450m)"/>
    <s v="ZEBRA"/>
    <s v="N/A"/>
    <s v="Original"/>
    <m/>
    <m/>
    <n v="10"/>
    <m/>
    <n v="0"/>
    <m/>
  </r>
  <r>
    <s v="CIM 1748"/>
    <s v="ULSG"/>
    <x v="24"/>
    <s v="Botão de Avanço para Impressora ZEBRA GK420T (ZEBRA PRINTER FEED SWITCH) P/N:P105934-075"/>
    <s v="ZEBRA"/>
    <s v="GK420T"/>
    <s v="Original"/>
    <m/>
    <m/>
    <n v="10"/>
    <m/>
    <n v="0"/>
    <m/>
  </r>
  <r>
    <s v="CIM 1749"/>
    <s v="ULSG"/>
    <x v="24"/>
    <s v="Fita Carbono 110 mm x 74 m Impressora zebra gk420t"/>
    <s v="ZEBRA"/>
    <s v="GK420T"/>
    <s v="Original"/>
    <m/>
    <s v="Não"/>
    <n v="15"/>
    <m/>
    <n v="0"/>
    <m/>
  </r>
  <r>
    <s v="CIM 1750"/>
    <s v="ULSG"/>
    <x v="24"/>
    <s v="Fonte de Alimentação para Impressora ZEBRA GK420T"/>
    <s v="ZEBRA"/>
    <s v="GK420T"/>
    <s v="Original"/>
    <m/>
    <m/>
    <n v="5"/>
    <m/>
    <n v="0"/>
    <m/>
  </r>
  <r>
    <s v="CIM 1751"/>
    <s v="ULSG"/>
    <x v="24"/>
    <s v="KIT Cabeça de Impressão (PRINTHEAD) 203 DPI para Impressora ZEBRA GK420T P/N:P105934-038"/>
    <s v="ZEBRA"/>
    <s v="GK420T"/>
    <s v="Original"/>
    <m/>
    <m/>
    <n v="10"/>
    <m/>
    <n v="0"/>
    <m/>
  </r>
  <r>
    <s v="CIM 1752"/>
    <s v="ULSG"/>
    <x v="24"/>
    <s v="KIT Cabeça de Impressão (PRINTHEAD) 203 DPI para Impressora ZEBRA ZD421D P/N: P1112640-019"/>
    <s v="ZEBRA"/>
    <s v="ZD421"/>
    <s v="Original"/>
    <m/>
    <m/>
    <n v="8"/>
    <m/>
    <n v="0"/>
    <m/>
  </r>
  <r>
    <s v="CIM 1753"/>
    <s v="ULSG"/>
    <x v="24"/>
    <s v="KIT Rolo de Impressão (PLATEN ROLLER) 203 DPI para Impressora ZEBRA ZD421D P/N:P1112640-062"/>
    <s v="ZEBRA"/>
    <s v="ZD422"/>
    <s v="Original"/>
    <m/>
    <m/>
    <n v="8"/>
    <m/>
    <n v="0"/>
    <m/>
  </r>
  <r>
    <s v="CIM 1840"/>
    <s v="ULSPVVC"/>
    <x v="24"/>
    <s v="Fita de Carbono 110mmx74m para Impressora zebra"/>
    <s v="ZEBRA"/>
    <s v="ZD420t / ZD500 /  GC420t / GT800 / TLP2844 / TLP2844-Z / TLP3842 / TLP3844-Z﻿ "/>
    <s v="Original"/>
    <s v="N/A"/>
    <s v="Não"/>
    <n v="300"/>
    <m/>
    <n v="0"/>
    <s v="03200GSM11007"/>
  </r>
  <r>
    <s v="CIM 1841"/>
    <s v="ULSPVVC"/>
    <x v="24"/>
    <s v="Fita p/ Impressora Zebra resina  65x74m"/>
    <s v="ZEBRA"/>
    <s v="ZD230T / ZD621T / ﻿ ZD500 / ZD620t / GC420t / GK420t /  TLP2844 / TLP2844-Z / TLP3842 / TLP3844-Z﻿.﻿"/>
    <s v="Original"/>
    <s v="N/A"/>
    <s v="Não"/>
    <n v="48"/>
    <m/>
    <n v="0"/>
    <m/>
  </r>
  <r>
    <s v="CIM 1917"/>
    <s v="ULSSJOSE"/>
    <x v="24"/>
    <s v="Fita de Carbono 110MMX74M para Impressora ZEBRA"/>
    <s v="ZEBRA"/>
    <s v="S600/S4M/ZT230"/>
    <s v="Original"/>
    <s v="N/A"/>
    <s v="N/A"/>
    <n v="73"/>
    <m/>
    <n v="0"/>
    <m/>
  </r>
  <r>
    <s v="CIM 1918"/>
    <s v="ULSSJOSE"/>
    <x v="24"/>
    <s v="Fita ZEBRA 110X450MM"/>
    <s v="ZEBRA"/>
    <s v="S600/S4M/ZT230"/>
    <s v="Original"/>
    <s v="N/A"/>
    <s v="N/A"/>
    <n v="245"/>
    <m/>
    <n v="0"/>
    <m/>
  </r>
  <r>
    <s v="CIM1065"/>
    <s v="IPOC"/>
    <x v="24"/>
    <s v="Fita carbono p/imp. Zebra 110mmx75mts"/>
    <s v="ZEBRA"/>
    <s v="FITA CARBONO P/IMP. ZEBRA "/>
    <s v="Original"/>
    <n v="500"/>
    <s v="Sim"/>
    <n v="216"/>
    <m/>
    <n v="0"/>
    <m/>
  </r>
  <r>
    <s v="CIM1066"/>
    <s v="IPOC"/>
    <x v="24"/>
    <s v="Fita p/ imp. Zebra gk 420 - 64 mm x 74m carbono polipropileno c/brilho "/>
    <s v="ZEBRA"/>
    <s v="IMP. ZEBRA GK 420"/>
    <s v="Original"/>
    <n v="1000"/>
    <s v="Sim"/>
    <n v="72"/>
    <m/>
    <n v="0"/>
    <m/>
  </r>
  <r>
    <s v="CIM0497"/>
    <s v="ULSSJOSE"/>
    <x v="24"/>
    <s v="Fita p/impressora de cartoes zebra zxp7"/>
    <s v="ZEBRA"/>
    <s v="ZXP7"/>
    <s v="Original"/>
    <n v="250"/>
    <s v="Não"/>
    <n v="2"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A8E9C-7750-4D87-BF6A-51EB1D4C5DC7}" name="Tabela Dinâmica1" cacheId="0" applyNumberFormats="0" applyBorderFormats="0" applyFontFormats="0" applyPatternFormats="0" applyAlignmentFormats="0" applyWidthHeightFormats="1" dataCaption="Valores" grandTotalCaption="Total Proposto S/IVA" updatedVersion="8" minRefreshableVersion="3" useAutoFormatting="1" itemPrintTitles="1" createdVersion="8" indent="0" outline="1" outlineData="1" multipleFieldFilters="0" rowHeaderCaption="Lotes">
  <location ref="B3:C29" firstHeaderRow="1" firstDataRow="1" firstDataCol="1"/>
  <pivotFields count="13"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dataField="1" numFmtId="164" showAll="0"/>
    <pivotField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Preço Proposto Total p/Lote" fld="11" baseField="0" baseItem="0" numFmtId="164"/>
  </dataFields>
  <formats count="28">
    <format dxfId="29">
      <pivotArea dataOnly="0" labelOnly="1" fieldPosition="0">
        <references count="1">
          <reference field="2" count="0"/>
        </references>
      </pivotArea>
    </format>
    <format dxfId="28">
      <pivotArea dataOnly="0" labelOnly="1" fieldPosition="0">
        <references count="1">
          <reference field="2" count="0"/>
        </references>
      </pivotArea>
    </format>
    <format dxfId="27">
      <pivotArea dataOnly="0" labelOnly="1" fieldPosition="0">
        <references count="1">
          <reference field="2" count="0"/>
        </references>
      </pivotArea>
    </format>
    <format dxfId="26">
      <pivotArea grandRow="1" outline="0" collapsedLevelsAreSubtotals="1" fieldPosition="0"/>
    </format>
    <format dxfId="25">
      <pivotArea field="2" type="button" dataOnly="0" labelOnly="1" outline="0" axis="axisRow" fieldPosition="0"/>
    </format>
    <format dxfId="24">
      <pivotArea dataOnly="0" labelOnly="1" outline="0" axis="axisValues" fieldPosition="0"/>
    </format>
    <format dxfId="23">
      <pivotArea field="2" type="button" dataOnly="0" labelOnly="1" outline="0" axis="axisRow" fieldPosition="0"/>
    </format>
    <format dxfId="22">
      <pivotArea dataOnly="0" labelOnly="1" outline="0" axis="axisValues" fieldPosition="0"/>
    </format>
    <format dxfId="21">
      <pivotArea collapsedLevelsAreSubtotals="1" fieldPosition="0">
        <references count="1">
          <reference field="2" count="0"/>
        </references>
      </pivotArea>
    </format>
    <format dxfId="20">
      <pivotArea dataOnly="0" labelOnly="1" outline="0" axis="axisValues" fieldPosition="0"/>
    </format>
    <format dxfId="19">
      <pivotArea field="2" type="button" dataOnly="0" labelOnly="1" outline="0" axis="axisRow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field="2" type="button" dataOnly="0" labelOnly="1" outline="0" axis="axisRow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pivotTableStyleInfo name="PivotStyleMedium10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061"/>
  <sheetViews>
    <sheetView showGridLines="0" tabSelected="1" zoomScaleNormal="100" workbookViewId="0">
      <selection activeCell="E25" sqref="E25"/>
    </sheetView>
  </sheetViews>
  <sheetFormatPr defaultRowHeight="14.4" x14ac:dyDescent="0.3"/>
  <cols>
    <col min="1" max="1" width="3.33203125" customWidth="1"/>
    <col min="2" max="2" width="10.44140625" style="37" hidden="1" customWidth="1"/>
    <col min="3" max="3" width="13.5546875" style="31" customWidth="1"/>
    <col min="4" max="4" width="12.21875" style="31" customWidth="1"/>
    <col min="5" max="5" width="84.33203125" style="38" bestFit="1" customWidth="1"/>
    <col min="6" max="6" width="12.109375" style="37" customWidth="1"/>
    <col min="7" max="7" width="46.44140625" style="37" bestFit="1" customWidth="1"/>
    <col min="8" max="8" width="10.44140625" style="37" customWidth="1"/>
    <col min="9" max="9" width="18.109375" style="37" customWidth="1"/>
    <col min="10" max="10" width="7.5546875" style="37" customWidth="1"/>
    <col min="11" max="11" width="10.5546875" style="37" customWidth="1"/>
    <col min="12" max="12" width="11.33203125" style="32" customWidth="1"/>
    <col min="13" max="13" width="9.77734375" style="32" customWidth="1"/>
    <col min="14" max="14" width="21.109375" hidden="1" customWidth="1"/>
    <col min="15" max="15" width="11.77734375" bestFit="1" customWidth="1"/>
    <col min="22" max="22" width="8.21875" customWidth="1"/>
  </cols>
  <sheetData>
    <row r="2" spans="2:15" x14ac:dyDescent="0.3">
      <c r="C2" s="82" t="s">
        <v>2176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2:15" x14ac:dyDescent="0.3">
      <c r="C3" s="84" t="s">
        <v>2177</v>
      </c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</row>
    <row r="4" spans="2:15" x14ac:dyDescent="0.3">
      <c r="C4" s="86" t="s">
        <v>2181</v>
      </c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</row>
    <row r="5" spans="2:15" x14ac:dyDescent="0.3">
      <c r="C5"/>
      <c r="D5"/>
      <c r="E5"/>
      <c r="F5"/>
      <c r="G5"/>
      <c r="H5"/>
      <c r="I5"/>
      <c r="J5"/>
      <c r="K5"/>
      <c r="L5"/>
      <c r="M5"/>
      <c r="N5" s="32"/>
    </row>
    <row r="6" spans="2:15" x14ac:dyDescent="0.3">
      <c r="C6" s="80" t="s">
        <v>2178</v>
      </c>
      <c r="D6" s="81"/>
      <c r="E6" s="75"/>
      <c r="L6" s="37"/>
      <c r="M6" s="37"/>
      <c r="N6" s="32"/>
      <c r="O6" s="32"/>
    </row>
    <row r="7" spans="2:15" x14ac:dyDescent="0.3">
      <c r="C7" s="80" t="s">
        <v>2179</v>
      </c>
      <c r="D7" s="81"/>
      <c r="E7" s="75"/>
      <c r="L7" s="37"/>
      <c r="M7" s="37"/>
      <c r="N7" s="32"/>
      <c r="O7" s="32"/>
    </row>
    <row r="8" spans="2:15" x14ac:dyDescent="0.3">
      <c r="C8" s="80" t="s">
        <v>2180</v>
      </c>
      <c r="D8" s="81"/>
      <c r="E8" s="76">
        <f>SUM(M12:M757)</f>
        <v>0</v>
      </c>
      <c r="L8" s="37"/>
      <c r="N8" s="32"/>
    </row>
    <row r="11" spans="2:15" ht="39" customHeight="1" x14ac:dyDescent="0.3">
      <c r="B11" s="27" t="s">
        <v>1032</v>
      </c>
      <c r="C11" s="28" t="s">
        <v>321</v>
      </c>
      <c r="D11" s="28" t="s">
        <v>1846</v>
      </c>
      <c r="E11" s="28" t="s">
        <v>1590</v>
      </c>
      <c r="F11" s="27" t="s">
        <v>1</v>
      </c>
      <c r="G11" s="27" t="s">
        <v>2</v>
      </c>
      <c r="H11" s="28" t="s">
        <v>3</v>
      </c>
      <c r="I11" s="27" t="s">
        <v>5</v>
      </c>
      <c r="J11" s="27" t="s">
        <v>320</v>
      </c>
      <c r="K11" s="28" t="s">
        <v>6</v>
      </c>
      <c r="L11" s="30" t="s">
        <v>7</v>
      </c>
      <c r="M11" s="30" t="s">
        <v>8</v>
      </c>
      <c r="N11" s="29" t="s">
        <v>9</v>
      </c>
    </row>
    <row r="12" spans="2:15" ht="15" x14ac:dyDescent="0.3">
      <c r="B12" s="42" t="s">
        <v>1954</v>
      </c>
      <c r="C12" s="5" t="s">
        <v>1397</v>
      </c>
      <c r="D12" s="5">
        <v>1</v>
      </c>
      <c r="E12" s="50" t="s">
        <v>1643</v>
      </c>
      <c r="F12" s="3" t="s">
        <v>19</v>
      </c>
      <c r="G12" s="3" t="s">
        <v>686</v>
      </c>
      <c r="H12" s="9" t="s">
        <v>13</v>
      </c>
      <c r="I12" s="3"/>
      <c r="J12" s="3" t="s">
        <v>11</v>
      </c>
      <c r="K12" s="71">
        <v>12</v>
      </c>
      <c r="L12" s="64"/>
      <c r="M12" s="47">
        <f>K12*L12</f>
        <v>0</v>
      </c>
      <c r="N12" s="45"/>
    </row>
    <row r="13" spans="2:15" ht="15" x14ac:dyDescent="0.3">
      <c r="B13" s="42" t="s">
        <v>1955</v>
      </c>
      <c r="C13" s="5" t="s">
        <v>1397</v>
      </c>
      <c r="D13" s="5">
        <v>1</v>
      </c>
      <c r="E13" s="50" t="s">
        <v>1543</v>
      </c>
      <c r="F13" s="3" t="s">
        <v>19</v>
      </c>
      <c r="G13" s="3" t="s">
        <v>686</v>
      </c>
      <c r="H13" s="9" t="s">
        <v>13</v>
      </c>
      <c r="I13" s="3"/>
      <c r="J13" s="3" t="s">
        <v>11</v>
      </c>
      <c r="K13" s="71">
        <v>50</v>
      </c>
      <c r="L13" s="64"/>
      <c r="M13" s="47">
        <f>K13*L13</f>
        <v>0</v>
      </c>
      <c r="N13" s="45"/>
    </row>
    <row r="14" spans="2:15" x14ac:dyDescent="0.3">
      <c r="B14" s="42" t="s">
        <v>1991</v>
      </c>
      <c r="C14" s="6" t="s">
        <v>1401</v>
      </c>
      <c r="D14" s="5">
        <v>1</v>
      </c>
      <c r="E14" s="55" t="s">
        <v>916</v>
      </c>
      <c r="F14" s="9" t="s">
        <v>19</v>
      </c>
      <c r="G14" s="9" t="s">
        <v>1587</v>
      </c>
      <c r="H14" s="9" t="s">
        <v>13</v>
      </c>
      <c r="I14" s="46">
        <v>1200</v>
      </c>
      <c r="J14" s="9" t="s">
        <v>10</v>
      </c>
      <c r="K14" s="72">
        <v>4</v>
      </c>
      <c r="L14" s="62"/>
      <c r="M14" s="47">
        <f t="shared" ref="M14:M77" si="0">+K14*L14</f>
        <v>0</v>
      </c>
      <c r="N14" s="45"/>
    </row>
    <row r="15" spans="2:15" x14ac:dyDescent="0.3">
      <c r="B15" s="42" t="s">
        <v>1992</v>
      </c>
      <c r="C15" s="6" t="s">
        <v>1401</v>
      </c>
      <c r="D15" s="5">
        <v>1</v>
      </c>
      <c r="E15" s="55" t="s">
        <v>915</v>
      </c>
      <c r="F15" s="9" t="s">
        <v>19</v>
      </c>
      <c r="G15" s="9" t="s">
        <v>1586</v>
      </c>
      <c r="H15" s="9" t="s">
        <v>13</v>
      </c>
      <c r="I15" s="46">
        <v>2600</v>
      </c>
      <c r="J15" s="9" t="s">
        <v>10</v>
      </c>
      <c r="K15" s="72">
        <v>3</v>
      </c>
      <c r="L15" s="62"/>
      <c r="M15" s="47">
        <f t="shared" si="0"/>
        <v>0</v>
      </c>
      <c r="N15" s="45"/>
    </row>
    <row r="16" spans="2:15" x14ac:dyDescent="0.3">
      <c r="B16" s="67" t="s">
        <v>2105</v>
      </c>
      <c r="C16" s="54" t="s">
        <v>1312</v>
      </c>
      <c r="D16" s="5">
        <v>1</v>
      </c>
      <c r="E16" s="50" t="s">
        <v>1703</v>
      </c>
      <c r="F16" s="54" t="s">
        <v>19</v>
      </c>
      <c r="G16" s="54" t="s">
        <v>1503</v>
      </c>
      <c r="H16" s="54" t="s">
        <v>13</v>
      </c>
      <c r="I16" s="36">
        <v>1000</v>
      </c>
      <c r="J16" s="54" t="s">
        <v>10</v>
      </c>
      <c r="K16" s="73">
        <v>5</v>
      </c>
      <c r="L16" s="65"/>
      <c r="M16" s="47">
        <f t="shared" si="0"/>
        <v>0</v>
      </c>
      <c r="N16" s="45"/>
    </row>
    <row r="17" spans="2:14" x14ac:dyDescent="0.3">
      <c r="B17" s="67" t="s">
        <v>2106</v>
      </c>
      <c r="C17" s="54" t="s">
        <v>1312</v>
      </c>
      <c r="D17" s="5">
        <v>1</v>
      </c>
      <c r="E17" s="50" t="s">
        <v>1704</v>
      </c>
      <c r="F17" s="54" t="s">
        <v>19</v>
      </c>
      <c r="G17" s="54" t="s">
        <v>1503</v>
      </c>
      <c r="H17" s="54" t="s">
        <v>13</v>
      </c>
      <c r="I17" s="36">
        <v>1000</v>
      </c>
      <c r="J17" s="54" t="s">
        <v>10</v>
      </c>
      <c r="K17" s="73">
        <v>5</v>
      </c>
      <c r="L17" s="65"/>
      <c r="M17" s="47">
        <f t="shared" si="0"/>
        <v>0</v>
      </c>
      <c r="N17" s="45"/>
    </row>
    <row r="18" spans="2:14" x14ac:dyDescent="0.3">
      <c r="B18" s="67" t="s">
        <v>2107</v>
      </c>
      <c r="C18" s="54" t="s">
        <v>1312</v>
      </c>
      <c r="D18" s="5">
        <v>1</v>
      </c>
      <c r="E18" s="50" t="s">
        <v>1705</v>
      </c>
      <c r="F18" s="54" t="s">
        <v>19</v>
      </c>
      <c r="G18" s="54" t="s">
        <v>1503</v>
      </c>
      <c r="H18" s="54" t="s">
        <v>13</v>
      </c>
      <c r="I18" s="36">
        <v>1000</v>
      </c>
      <c r="J18" s="54" t="s">
        <v>10</v>
      </c>
      <c r="K18" s="73">
        <v>5</v>
      </c>
      <c r="L18" s="65"/>
      <c r="M18" s="47">
        <f t="shared" si="0"/>
        <v>0</v>
      </c>
      <c r="N18" s="45"/>
    </row>
    <row r="19" spans="2:14" x14ac:dyDescent="0.3">
      <c r="B19" s="67" t="s">
        <v>2108</v>
      </c>
      <c r="C19" s="54" t="s">
        <v>1312</v>
      </c>
      <c r="D19" s="5">
        <v>1</v>
      </c>
      <c r="E19" s="50" t="s">
        <v>1706</v>
      </c>
      <c r="F19" s="54" t="s">
        <v>19</v>
      </c>
      <c r="G19" s="54" t="s">
        <v>1503</v>
      </c>
      <c r="H19" s="54" t="s">
        <v>13</v>
      </c>
      <c r="I19" s="36">
        <v>1000</v>
      </c>
      <c r="J19" s="54" t="s">
        <v>10</v>
      </c>
      <c r="K19" s="73">
        <v>5</v>
      </c>
      <c r="L19" s="65"/>
      <c r="M19" s="47">
        <f t="shared" si="0"/>
        <v>0</v>
      </c>
      <c r="N19" s="45"/>
    </row>
    <row r="20" spans="2:14" x14ac:dyDescent="0.3">
      <c r="B20" s="42" t="s">
        <v>587</v>
      </c>
      <c r="C20" s="5" t="s">
        <v>234</v>
      </c>
      <c r="D20" s="5">
        <v>1</v>
      </c>
      <c r="E20" s="41" t="s">
        <v>916</v>
      </c>
      <c r="F20" s="3" t="s">
        <v>19</v>
      </c>
      <c r="G20" s="3" t="s">
        <v>238</v>
      </c>
      <c r="H20" s="9" t="s">
        <v>13</v>
      </c>
      <c r="I20" s="46">
        <v>1200</v>
      </c>
      <c r="J20" s="3" t="s">
        <v>10</v>
      </c>
      <c r="K20" s="72">
        <v>12</v>
      </c>
      <c r="L20" s="62"/>
      <c r="M20" s="47">
        <f t="shared" si="0"/>
        <v>0</v>
      </c>
      <c r="N20" s="45"/>
    </row>
    <row r="21" spans="2:14" x14ac:dyDescent="0.3">
      <c r="B21" s="42" t="s">
        <v>589</v>
      </c>
      <c r="C21" s="5" t="s">
        <v>234</v>
      </c>
      <c r="D21" s="5">
        <v>1</v>
      </c>
      <c r="E21" s="41" t="s">
        <v>918</v>
      </c>
      <c r="F21" s="3" t="s">
        <v>19</v>
      </c>
      <c r="G21" s="3" t="s">
        <v>235</v>
      </c>
      <c r="H21" s="9" t="s">
        <v>13</v>
      </c>
      <c r="I21" s="46">
        <v>12000</v>
      </c>
      <c r="J21" s="3" t="s">
        <v>10</v>
      </c>
      <c r="K21" s="72">
        <v>2</v>
      </c>
      <c r="L21" s="62"/>
      <c r="M21" s="47">
        <f t="shared" si="0"/>
        <v>0</v>
      </c>
      <c r="N21" s="45"/>
    </row>
    <row r="22" spans="2:14" x14ac:dyDescent="0.3">
      <c r="B22" s="42" t="s">
        <v>584</v>
      </c>
      <c r="C22" s="5" t="s">
        <v>234</v>
      </c>
      <c r="D22" s="5">
        <v>1</v>
      </c>
      <c r="E22" s="41" t="s">
        <v>913</v>
      </c>
      <c r="F22" s="3" t="s">
        <v>19</v>
      </c>
      <c r="G22" s="3" t="s">
        <v>241</v>
      </c>
      <c r="H22" s="9" t="s">
        <v>13</v>
      </c>
      <c r="I22" s="3"/>
      <c r="J22" s="3" t="s">
        <v>10</v>
      </c>
      <c r="K22" s="72">
        <v>6</v>
      </c>
      <c r="L22" s="62"/>
      <c r="M22" s="47">
        <f t="shared" si="0"/>
        <v>0</v>
      </c>
      <c r="N22" s="45"/>
    </row>
    <row r="23" spans="2:14" x14ac:dyDescent="0.3">
      <c r="B23" s="42" t="s">
        <v>585</v>
      </c>
      <c r="C23" s="5" t="s">
        <v>234</v>
      </c>
      <c r="D23" s="5">
        <v>1</v>
      </c>
      <c r="E23" s="41" t="s">
        <v>914</v>
      </c>
      <c r="F23" s="3" t="s">
        <v>19</v>
      </c>
      <c r="G23" s="3" t="s">
        <v>240</v>
      </c>
      <c r="H23" s="9" t="s">
        <v>13</v>
      </c>
      <c r="I23" s="46">
        <v>3000</v>
      </c>
      <c r="J23" s="3" t="s">
        <v>10</v>
      </c>
      <c r="K23" s="72">
        <v>4</v>
      </c>
      <c r="L23" s="62"/>
      <c r="M23" s="47">
        <f t="shared" si="0"/>
        <v>0</v>
      </c>
      <c r="N23" s="45"/>
    </row>
    <row r="24" spans="2:14" x14ac:dyDescent="0.3">
      <c r="B24" s="42" t="s">
        <v>586</v>
      </c>
      <c r="C24" s="5" t="s">
        <v>234</v>
      </c>
      <c r="D24" s="5">
        <v>1</v>
      </c>
      <c r="E24" s="41" t="s">
        <v>915</v>
      </c>
      <c r="F24" s="3" t="s">
        <v>19</v>
      </c>
      <c r="G24" s="3" t="s">
        <v>239</v>
      </c>
      <c r="H24" s="9" t="s">
        <v>13</v>
      </c>
      <c r="I24" s="46">
        <v>2600</v>
      </c>
      <c r="J24" s="3" t="s">
        <v>10</v>
      </c>
      <c r="K24" s="72">
        <v>60</v>
      </c>
      <c r="L24" s="62"/>
      <c r="M24" s="47">
        <f t="shared" si="0"/>
        <v>0</v>
      </c>
      <c r="N24" s="56"/>
    </row>
    <row r="25" spans="2:14" x14ac:dyDescent="0.3">
      <c r="B25" s="42" t="s">
        <v>588</v>
      </c>
      <c r="C25" s="5" t="s">
        <v>234</v>
      </c>
      <c r="D25" s="5">
        <v>1</v>
      </c>
      <c r="E25" s="41" t="s">
        <v>917</v>
      </c>
      <c r="F25" s="3" t="s">
        <v>19</v>
      </c>
      <c r="G25" s="3" t="s">
        <v>237</v>
      </c>
      <c r="H25" s="9" t="s">
        <v>13</v>
      </c>
      <c r="I25" s="46">
        <v>3000</v>
      </c>
      <c r="J25" s="3" t="s">
        <v>10</v>
      </c>
      <c r="K25" s="72">
        <v>12</v>
      </c>
      <c r="L25" s="62"/>
      <c r="M25" s="47">
        <f t="shared" si="0"/>
        <v>0</v>
      </c>
      <c r="N25" s="45"/>
    </row>
    <row r="26" spans="2:14" x14ac:dyDescent="0.3">
      <c r="B26" s="42" t="s">
        <v>726</v>
      </c>
      <c r="C26" s="5" t="s">
        <v>1280</v>
      </c>
      <c r="D26" s="5">
        <v>1</v>
      </c>
      <c r="E26" s="41" t="s">
        <v>1031</v>
      </c>
      <c r="F26" s="3" t="s">
        <v>19</v>
      </c>
      <c r="G26" s="3" t="s">
        <v>306</v>
      </c>
      <c r="H26" s="9" t="s">
        <v>13</v>
      </c>
      <c r="I26" s="9" t="s">
        <v>1344</v>
      </c>
      <c r="J26" s="3" t="s">
        <v>11</v>
      </c>
      <c r="K26" s="72">
        <v>1</v>
      </c>
      <c r="L26" s="62"/>
      <c r="M26" s="47">
        <f t="shared" si="0"/>
        <v>0</v>
      </c>
      <c r="N26" s="45"/>
    </row>
    <row r="27" spans="2:14" s="35" customFormat="1" x14ac:dyDescent="0.3">
      <c r="B27" s="42" t="s">
        <v>552</v>
      </c>
      <c r="C27" s="5" t="s">
        <v>1223</v>
      </c>
      <c r="D27" s="5">
        <v>1</v>
      </c>
      <c r="E27" s="41" t="s">
        <v>881</v>
      </c>
      <c r="F27" s="3" t="s">
        <v>19</v>
      </c>
      <c r="G27" s="3" t="s">
        <v>715</v>
      </c>
      <c r="H27" s="9" t="s">
        <v>13</v>
      </c>
      <c r="I27" s="3"/>
      <c r="J27" s="3" t="s">
        <v>11</v>
      </c>
      <c r="K27" s="72">
        <v>1</v>
      </c>
      <c r="L27" s="62"/>
      <c r="M27" s="47">
        <f t="shared" si="0"/>
        <v>0</v>
      </c>
      <c r="N27" s="45"/>
    </row>
    <row r="28" spans="2:14" s="35" customFormat="1" x14ac:dyDescent="0.3">
      <c r="B28" s="42" t="s">
        <v>1053</v>
      </c>
      <c r="C28" s="5" t="s">
        <v>1223</v>
      </c>
      <c r="D28" s="5">
        <v>1</v>
      </c>
      <c r="E28" s="41" t="s">
        <v>1059</v>
      </c>
      <c r="F28" s="3" t="s">
        <v>19</v>
      </c>
      <c r="G28" s="3" t="s">
        <v>1060</v>
      </c>
      <c r="H28" s="9" t="s">
        <v>13</v>
      </c>
      <c r="I28" s="3"/>
      <c r="J28" s="3" t="s">
        <v>11</v>
      </c>
      <c r="K28" s="72">
        <v>30</v>
      </c>
      <c r="L28" s="62"/>
      <c r="M28" s="47">
        <f t="shared" si="0"/>
        <v>0</v>
      </c>
      <c r="N28" s="45"/>
    </row>
    <row r="29" spans="2:14" s="35" customFormat="1" x14ac:dyDescent="0.3">
      <c r="B29" s="67" t="s">
        <v>1282</v>
      </c>
      <c r="C29" s="54" t="s">
        <v>1312</v>
      </c>
      <c r="D29" s="5">
        <v>1</v>
      </c>
      <c r="E29" s="52" t="s">
        <v>1297</v>
      </c>
      <c r="F29" s="54" t="s">
        <v>19</v>
      </c>
      <c r="G29" s="54" t="s">
        <v>1295</v>
      </c>
      <c r="H29" s="54" t="s">
        <v>13</v>
      </c>
      <c r="I29" s="60">
        <v>45000</v>
      </c>
      <c r="J29" s="54" t="s">
        <v>11</v>
      </c>
      <c r="K29" s="73">
        <v>1</v>
      </c>
      <c r="L29" s="65"/>
      <c r="M29" s="47">
        <f t="shared" si="0"/>
        <v>0</v>
      </c>
      <c r="N29" s="45"/>
    </row>
    <row r="30" spans="2:14" s="35" customFormat="1" x14ac:dyDescent="0.3">
      <c r="B30" s="67" t="s">
        <v>1281</v>
      </c>
      <c r="C30" s="54" t="s">
        <v>1312</v>
      </c>
      <c r="D30" s="5">
        <v>1</v>
      </c>
      <c r="E30" s="52" t="s">
        <v>1296</v>
      </c>
      <c r="F30" s="54" t="s">
        <v>19</v>
      </c>
      <c r="G30" s="54" t="s">
        <v>1295</v>
      </c>
      <c r="H30" s="54" t="s">
        <v>13</v>
      </c>
      <c r="I30" s="60">
        <v>15000</v>
      </c>
      <c r="J30" s="54" t="s">
        <v>11</v>
      </c>
      <c r="K30" s="73">
        <v>1</v>
      </c>
      <c r="L30" s="65"/>
      <c r="M30" s="47">
        <f t="shared" si="0"/>
        <v>0</v>
      </c>
      <c r="N30" s="45"/>
    </row>
    <row r="31" spans="2:14" s="35" customFormat="1" x14ac:dyDescent="0.3">
      <c r="B31" s="67" t="s">
        <v>1284</v>
      </c>
      <c r="C31" s="54" t="s">
        <v>1312</v>
      </c>
      <c r="D31" s="5">
        <v>1</v>
      </c>
      <c r="E31" s="52" t="s">
        <v>1299</v>
      </c>
      <c r="F31" s="54" t="s">
        <v>19</v>
      </c>
      <c r="G31" s="54" t="s">
        <v>1295</v>
      </c>
      <c r="H31" s="54" t="s">
        <v>13</v>
      </c>
      <c r="I31" s="36">
        <v>2000</v>
      </c>
      <c r="J31" s="54" t="s">
        <v>10</v>
      </c>
      <c r="K31" s="73">
        <v>1</v>
      </c>
      <c r="L31" s="65"/>
      <c r="M31" s="47">
        <f t="shared" si="0"/>
        <v>0</v>
      </c>
      <c r="N31" s="45"/>
    </row>
    <row r="32" spans="2:14" s="35" customFormat="1" x14ac:dyDescent="0.3">
      <c r="B32" s="67" t="s">
        <v>1286</v>
      </c>
      <c r="C32" s="54" t="s">
        <v>1312</v>
      </c>
      <c r="D32" s="5">
        <v>1</v>
      </c>
      <c r="E32" s="52" t="s">
        <v>1301</v>
      </c>
      <c r="F32" s="54" t="s">
        <v>19</v>
      </c>
      <c r="G32" s="54" t="s">
        <v>1295</v>
      </c>
      <c r="H32" s="54" t="s">
        <v>13</v>
      </c>
      <c r="I32" s="36">
        <v>2000</v>
      </c>
      <c r="J32" s="54" t="s">
        <v>10</v>
      </c>
      <c r="K32" s="73">
        <v>1</v>
      </c>
      <c r="L32" s="65"/>
      <c r="M32" s="47">
        <f t="shared" si="0"/>
        <v>0</v>
      </c>
      <c r="N32" s="45"/>
    </row>
    <row r="33" spans="2:14" s="35" customFormat="1" x14ac:dyDescent="0.3">
      <c r="B33" s="67" t="s">
        <v>1285</v>
      </c>
      <c r="C33" s="54" t="s">
        <v>1312</v>
      </c>
      <c r="D33" s="5">
        <v>1</v>
      </c>
      <c r="E33" s="52" t="s">
        <v>1300</v>
      </c>
      <c r="F33" s="54" t="s">
        <v>19</v>
      </c>
      <c r="G33" s="54" t="s">
        <v>1295</v>
      </c>
      <c r="H33" s="54" t="s">
        <v>13</v>
      </c>
      <c r="I33" s="36">
        <v>2000</v>
      </c>
      <c r="J33" s="54" t="s">
        <v>10</v>
      </c>
      <c r="K33" s="73">
        <v>1</v>
      </c>
      <c r="L33" s="65"/>
      <c r="M33" s="47">
        <f t="shared" si="0"/>
        <v>0</v>
      </c>
      <c r="N33" s="45"/>
    </row>
    <row r="34" spans="2:14" s="35" customFormat="1" x14ac:dyDescent="0.3">
      <c r="B34" s="67" t="s">
        <v>1283</v>
      </c>
      <c r="C34" s="54" t="s">
        <v>1312</v>
      </c>
      <c r="D34" s="5">
        <v>1</v>
      </c>
      <c r="E34" s="52" t="s">
        <v>1298</v>
      </c>
      <c r="F34" s="54" t="s">
        <v>19</v>
      </c>
      <c r="G34" s="54" t="s">
        <v>1295</v>
      </c>
      <c r="H34" s="54" t="s">
        <v>13</v>
      </c>
      <c r="I34" s="36">
        <v>2500</v>
      </c>
      <c r="J34" s="54" t="s">
        <v>10</v>
      </c>
      <c r="K34" s="73">
        <v>1</v>
      </c>
      <c r="L34" s="65"/>
      <c r="M34" s="47">
        <f t="shared" si="0"/>
        <v>0</v>
      </c>
      <c r="N34" s="45"/>
    </row>
    <row r="35" spans="2:14" s="35" customFormat="1" x14ac:dyDescent="0.3">
      <c r="B35" s="42" t="s">
        <v>1982</v>
      </c>
      <c r="C35" s="5" t="s">
        <v>1401</v>
      </c>
      <c r="D35" s="5">
        <v>2</v>
      </c>
      <c r="E35" s="41" t="s">
        <v>1563</v>
      </c>
      <c r="F35" s="43" t="s">
        <v>19</v>
      </c>
      <c r="G35" s="3" t="s">
        <v>1402</v>
      </c>
      <c r="H35" s="9" t="s">
        <v>1275</v>
      </c>
      <c r="I35" s="43"/>
      <c r="J35" s="9"/>
      <c r="K35" s="72">
        <v>2</v>
      </c>
      <c r="L35" s="62"/>
      <c r="M35" s="47">
        <f t="shared" si="0"/>
        <v>0</v>
      </c>
      <c r="N35" s="45"/>
    </row>
    <row r="36" spans="2:14" s="35" customFormat="1" x14ac:dyDescent="0.3">
      <c r="B36" s="42" t="s">
        <v>1983</v>
      </c>
      <c r="C36" s="5" t="s">
        <v>1401</v>
      </c>
      <c r="D36" s="5">
        <v>2</v>
      </c>
      <c r="E36" s="41" t="s">
        <v>1610</v>
      </c>
      <c r="F36" s="43" t="s">
        <v>19</v>
      </c>
      <c r="G36" s="3" t="s">
        <v>1402</v>
      </c>
      <c r="H36" s="9" t="s">
        <v>1275</v>
      </c>
      <c r="I36" s="43"/>
      <c r="J36" s="9"/>
      <c r="K36" s="72">
        <v>2</v>
      </c>
      <c r="L36" s="62"/>
      <c r="M36" s="47">
        <f t="shared" si="0"/>
        <v>0</v>
      </c>
      <c r="N36" s="45"/>
    </row>
    <row r="37" spans="2:14" s="35" customFormat="1" x14ac:dyDescent="0.3">
      <c r="B37" s="67" t="s">
        <v>2091</v>
      </c>
      <c r="C37" s="5" t="s">
        <v>1478</v>
      </c>
      <c r="D37" s="5">
        <v>2</v>
      </c>
      <c r="E37" s="41" t="s">
        <v>1656</v>
      </c>
      <c r="F37" s="3" t="s">
        <v>19</v>
      </c>
      <c r="G37" s="3" t="s">
        <v>1479</v>
      </c>
      <c r="H37" s="3" t="s">
        <v>1275</v>
      </c>
      <c r="I37" s="36">
        <v>12000</v>
      </c>
      <c r="J37" s="3" t="s">
        <v>11</v>
      </c>
      <c r="K37" s="72">
        <v>15</v>
      </c>
      <c r="L37" s="62"/>
      <c r="M37" s="47">
        <f t="shared" si="0"/>
        <v>0</v>
      </c>
      <c r="N37" s="45"/>
    </row>
    <row r="38" spans="2:14" s="35" customFormat="1" x14ac:dyDescent="0.3">
      <c r="B38" s="67" t="s">
        <v>2092</v>
      </c>
      <c r="C38" s="5" t="s">
        <v>1478</v>
      </c>
      <c r="D38" s="5">
        <v>2</v>
      </c>
      <c r="E38" s="41" t="s">
        <v>1657</v>
      </c>
      <c r="F38" s="3" t="s">
        <v>19</v>
      </c>
      <c r="G38" s="3" t="s">
        <v>1480</v>
      </c>
      <c r="H38" s="3" t="s">
        <v>1275</v>
      </c>
      <c r="I38" s="36">
        <v>3000</v>
      </c>
      <c r="J38" s="3" t="s">
        <v>11</v>
      </c>
      <c r="K38" s="72">
        <v>40</v>
      </c>
      <c r="L38" s="62"/>
      <c r="M38" s="47">
        <f t="shared" si="0"/>
        <v>0</v>
      </c>
      <c r="N38" s="45"/>
    </row>
    <row r="39" spans="2:14" s="35" customFormat="1" x14ac:dyDescent="0.3">
      <c r="B39" s="42" t="s">
        <v>680</v>
      </c>
      <c r="C39" s="5" t="s">
        <v>1280</v>
      </c>
      <c r="D39" s="5">
        <v>2</v>
      </c>
      <c r="E39" s="41" t="s">
        <v>1009</v>
      </c>
      <c r="F39" s="3" t="s">
        <v>19</v>
      </c>
      <c r="G39" s="3" t="s">
        <v>307</v>
      </c>
      <c r="H39" s="9" t="s">
        <v>1275</v>
      </c>
      <c r="I39" s="9" t="s">
        <v>1343</v>
      </c>
      <c r="J39" s="3" t="s">
        <v>10</v>
      </c>
      <c r="K39" s="72">
        <v>1</v>
      </c>
      <c r="L39" s="62"/>
      <c r="M39" s="47">
        <f t="shared" si="0"/>
        <v>0</v>
      </c>
      <c r="N39" s="45"/>
    </row>
    <row r="40" spans="2:14" s="35" customFormat="1" x14ac:dyDescent="0.3">
      <c r="B40" s="42" t="s">
        <v>681</v>
      </c>
      <c r="C40" s="5" t="s">
        <v>1280</v>
      </c>
      <c r="D40" s="5">
        <v>2</v>
      </c>
      <c r="E40" s="41" t="s">
        <v>1010</v>
      </c>
      <c r="F40" s="3" t="s">
        <v>19</v>
      </c>
      <c r="G40" s="3" t="s">
        <v>305</v>
      </c>
      <c r="H40" s="9" t="s">
        <v>1275</v>
      </c>
      <c r="I40" s="9" t="s">
        <v>1343</v>
      </c>
      <c r="J40" s="3" t="s">
        <v>10</v>
      </c>
      <c r="K40" s="72">
        <v>1</v>
      </c>
      <c r="L40" s="62"/>
      <c r="M40" s="47">
        <f t="shared" si="0"/>
        <v>0</v>
      </c>
      <c r="N40" s="45"/>
    </row>
    <row r="41" spans="2:14" x14ac:dyDescent="0.3">
      <c r="B41" s="42" t="s">
        <v>342</v>
      </c>
      <c r="C41" s="5" t="s">
        <v>1033</v>
      </c>
      <c r="D41" s="5">
        <v>2</v>
      </c>
      <c r="E41" s="48" t="s">
        <v>740</v>
      </c>
      <c r="F41" s="9" t="s">
        <v>19</v>
      </c>
      <c r="G41" s="9" t="s">
        <v>27</v>
      </c>
      <c r="H41" s="9" t="s">
        <v>1275</v>
      </c>
      <c r="I41" s="9"/>
      <c r="J41" s="9" t="s">
        <v>10</v>
      </c>
      <c r="K41" s="72">
        <v>1</v>
      </c>
      <c r="L41" s="62"/>
      <c r="M41" s="47">
        <f t="shared" si="0"/>
        <v>0</v>
      </c>
      <c r="N41" s="45"/>
    </row>
    <row r="42" spans="2:14" x14ac:dyDescent="0.3">
      <c r="B42" s="42" t="s">
        <v>343</v>
      </c>
      <c r="C42" s="5" t="s">
        <v>1033</v>
      </c>
      <c r="D42" s="5">
        <v>2</v>
      </c>
      <c r="E42" s="48" t="s">
        <v>741</v>
      </c>
      <c r="F42" s="9" t="s">
        <v>19</v>
      </c>
      <c r="G42" s="9" t="s">
        <v>27</v>
      </c>
      <c r="H42" s="9" t="s">
        <v>1275</v>
      </c>
      <c r="I42" s="9"/>
      <c r="J42" s="9" t="s">
        <v>10</v>
      </c>
      <c r="K42" s="72">
        <v>1</v>
      </c>
      <c r="L42" s="62"/>
      <c r="M42" s="47">
        <f t="shared" si="0"/>
        <v>0</v>
      </c>
      <c r="N42" s="45"/>
    </row>
    <row r="43" spans="2:14" x14ac:dyDescent="0.3">
      <c r="B43" s="42" t="s">
        <v>341</v>
      </c>
      <c r="C43" s="5" t="s">
        <v>1033</v>
      </c>
      <c r="D43" s="5">
        <v>2</v>
      </c>
      <c r="E43" s="48" t="s">
        <v>739</v>
      </c>
      <c r="F43" s="9" t="s">
        <v>19</v>
      </c>
      <c r="G43" s="9" t="s">
        <v>27</v>
      </c>
      <c r="H43" s="9" t="s">
        <v>1275</v>
      </c>
      <c r="I43" s="9"/>
      <c r="J43" s="9" t="s">
        <v>10</v>
      </c>
      <c r="K43" s="72">
        <v>1</v>
      </c>
      <c r="L43" s="62"/>
      <c r="M43" s="47">
        <f t="shared" si="0"/>
        <v>0</v>
      </c>
      <c r="N43" s="45"/>
    </row>
    <row r="44" spans="2:14" x14ac:dyDescent="0.3">
      <c r="B44" s="42" t="s">
        <v>338</v>
      </c>
      <c r="C44" s="5" t="s">
        <v>1033</v>
      </c>
      <c r="D44" s="5">
        <v>2</v>
      </c>
      <c r="E44" s="48" t="s">
        <v>736</v>
      </c>
      <c r="F44" s="9" t="s">
        <v>19</v>
      </c>
      <c r="G44" s="9" t="s">
        <v>27</v>
      </c>
      <c r="H44" s="9" t="s">
        <v>1275</v>
      </c>
      <c r="I44" s="9"/>
      <c r="J44" s="9" t="s">
        <v>10</v>
      </c>
      <c r="K44" s="72">
        <v>1</v>
      </c>
      <c r="L44" s="62"/>
      <c r="M44" s="47">
        <f t="shared" si="0"/>
        <v>0</v>
      </c>
      <c r="N44" s="45"/>
    </row>
    <row r="45" spans="2:14" x14ac:dyDescent="0.3">
      <c r="B45" s="42" t="s">
        <v>1893</v>
      </c>
      <c r="C45" s="5" t="s">
        <v>1787</v>
      </c>
      <c r="D45" s="54">
        <v>3</v>
      </c>
      <c r="E45" s="41" t="s">
        <v>1808</v>
      </c>
      <c r="F45" s="3" t="s">
        <v>36</v>
      </c>
      <c r="G45" s="3" t="s">
        <v>686</v>
      </c>
      <c r="H45" s="9" t="s">
        <v>13</v>
      </c>
      <c r="I45" s="3"/>
      <c r="J45" s="3"/>
      <c r="K45" s="72">
        <v>10</v>
      </c>
      <c r="L45" s="62"/>
      <c r="M45" s="47">
        <f t="shared" si="0"/>
        <v>0</v>
      </c>
      <c r="N45" s="45"/>
    </row>
    <row r="46" spans="2:14" x14ac:dyDescent="0.3">
      <c r="B46" s="42" t="s">
        <v>573</v>
      </c>
      <c r="C46" s="5" t="s">
        <v>234</v>
      </c>
      <c r="D46" s="54">
        <v>3</v>
      </c>
      <c r="E46" s="41" t="s">
        <v>902</v>
      </c>
      <c r="F46" s="3" t="s">
        <v>36</v>
      </c>
      <c r="G46" s="3" t="s">
        <v>242</v>
      </c>
      <c r="H46" s="9" t="s">
        <v>13</v>
      </c>
      <c r="I46" s="9">
        <v>308</v>
      </c>
      <c r="J46" s="3" t="s">
        <v>10</v>
      </c>
      <c r="K46" s="72">
        <v>3</v>
      </c>
      <c r="L46" s="62"/>
      <c r="M46" s="47">
        <f t="shared" si="0"/>
        <v>0</v>
      </c>
      <c r="N46" s="45"/>
    </row>
    <row r="47" spans="2:14" x14ac:dyDescent="0.3">
      <c r="B47" s="42" t="s">
        <v>578</v>
      </c>
      <c r="C47" s="5" t="s">
        <v>234</v>
      </c>
      <c r="D47" s="54">
        <v>3</v>
      </c>
      <c r="E47" s="41" t="s">
        <v>907</v>
      </c>
      <c r="F47" s="3" t="s">
        <v>36</v>
      </c>
      <c r="G47" s="3" t="s">
        <v>243</v>
      </c>
      <c r="H47" s="9" t="s">
        <v>13</v>
      </c>
      <c r="I47" s="9">
        <v>760</v>
      </c>
      <c r="J47" s="3" t="s">
        <v>10</v>
      </c>
      <c r="K47" s="72">
        <v>3</v>
      </c>
      <c r="L47" s="62"/>
      <c r="M47" s="47">
        <f t="shared" si="0"/>
        <v>0</v>
      </c>
      <c r="N47" s="45"/>
    </row>
    <row r="48" spans="2:14" x14ac:dyDescent="0.3">
      <c r="B48" s="42" t="s">
        <v>574</v>
      </c>
      <c r="C48" s="5" t="s">
        <v>234</v>
      </c>
      <c r="D48" s="54">
        <v>3</v>
      </c>
      <c r="E48" s="41" t="s">
        <v>903</v>
      </c>
      <c r="F48" s="3" t="s">
        <v>36</v>
      </c>
      <c r="G48" s="3" t="s">
        <v>246</v>
      </c>
      <c r="H48" s="9" t="s">
        <v>13</v>
      </c>
      <c r="I48" s="9">
        <v>180</v>
      </c>
      <c r="J48" s="3" t="s">
        <v>10</v>
      </c>
      <c r="K48" s="72">
        <v>1</v>
      </c>
      <c r="L48" s="62"/>
      <c r="M48" s="47">
        <f t="shared" si="0"/>
        <v>0</v>
      </c>
      <c r="N48" s="45"/>
    </row>
    <row r="49" spans="2:14" x14ac:dyDescent="0.3">
      <c r="B49" s="42" t="s">
        <v>575</v>
      </c>
      <c r="C49" s="5" t="s">
        <v>234</v>
      </c>
      <c r="D49" s="54">
        <v>3</v>
      </c>
      <c r="E49" s="41" t="s">
        <v>904</v>
      </c>
      <c r="F49" s="3" t="s">
        <v>36</v>
      </c>
      <c r="G49" s="3" t="s">
        <v>246</v>
      </c>
      <c r="H49" s="9" t="s">
        <v>13</v>
      </c>
      <c r="I49" s="9">
        <v>180</v>
      </c>
      <c r="J49" s="3" t="s">
        <v>10</v>
      </c>
      <c r="K49" s="72">
        <v>1</v>
      </c>
      <c r="L49" s="62"/>
      <c r="M49" s="47">
        <f t="shared" si="0"/>
        <v>0</v>
      </c>
      <c r="N49" s="45"/>
    </row>
    <row r="50" spans="2:14" x14ac:dyDescent="0.3">
      <c r="B50" s="42" t="s">
        <v>577</v>
      </c>
      <c r="C50" s="5" t="s">
        <v>234</v>
      </c>
      <c r="D50" s="54">
        <v>3</v>
      </c>
      <c r="E50" s="41" t="s">
        <v>906</v>
      </c>
      <c r="F50" s="3" t="s">
        <v>36</v>
      </c>
      <c r="G50" s="3" t="s">
        <v>245</v>
      </c>
      <c r="H50" s="9" t="s">
        <v>13</v>
      </c>
      <c r="I50" s="9">
        <v>350</v>
      </c>
      <c r="J50" s="3" t="s">
        <v>10</v>
      </c>
      <c r="K50" s="72">
        <v>12</v>
      </c>
      <c r="L50" s="62"/>
      <c r="M50" s="47">
        <f t="shared" si="0"/>
        <v>0</v>
      </c>
      <c r="N50" s="45"/>
    </row>
    <row r="51" spans="2:14" x14ac:dyDescent="0.3">
      <c r="B51" s="42" t="s">
        <v>576</v>
      </c>
      <c r="C51" s="5" t="s">
        <v>234</v>
      </c>
      <c r="D51" s="54">
        <v>3</v>
      </c>
      <c r="E51" s="41" t="s">
        <v>905</v>
      </c>
      <c r="F51" s="3" t="s">
        <v>36</v>
      </c>
      <c r="G51" s="3" t="s">
        <v>245</v>
      </c>
      <c r="H51" s="9" t="s">
        <v>13</v>
      </c>
      <c r="I51" s="9">
        <v>400</v>
      </c>
      <c r="J51" s="3" t="s">
        <v>10</v>
      </c>
      <c r="K51" s="72">
        <v>12</v>
      </c>
      <c r="L51" s="62"/>
      <c r="M51" s="47">
        <f t="shared" si="0"/>
        <v>0</v>
      </c>
      <c r="N51" s="45"/>
    </row>
    <row r="52" spans="2:14" x14ac:dyDescent="0.3">
      <c r="B52" s="42" t="s">
        <v>579</v>
      </c>
      <c r="C52" s="5" t="s">
        <v>234</v>
      </c>
      <c r="D52" s="54">
        <v>3</v>
      </c>
      <c r="E52" s="41" t="s">
        <v>908</v>
      </c>
      <c r="F52" s="3" t="s">
        <v>36</v>
      </c>
      <c r="G52" s="3" t="s">
        <v>244</v>
      </c>
      <c r="H52" s="9" t="s">
        <v>13</v>
      </c>
      <c r="I52" s="9">
        <v>830</v>
      </c>
      <c r="J52" s="3" t="s">
        <v>10</v>
      </c>
      <c r="K52" s="72">
        <v>1</v>
      </c>
      <c r="L52" s="62"/>
      <c r="M52" s="47">
        <f t="shared" si="0"/>
        <v>0</v>
      </c>
      <c r="N52" s="45"/>
    </row>
    <row r="53" spans="2:14" x14ac:dyDescent="0.3">
      <c r="B53" s="42" t="s">
        <v>581</v>
      </c>
      <c r="C53" s="5" t="s">
        <v>234</v>
      </c>
      <c r="D53" s="54">
        <v>3</v>
      </c>
      <c r="E53" s="41" t="s">
        <v>910</v>
      </c>
      <c r="F53" s="3" t="s">
        <v>36</v>
      </c>
      <c r="G53" s="3" t="s">
        <v>244</v>
      </c>
      <c r="H53" s="9" t="s">
        <v>13</v>
      </c>
      <c r="I53" s="9">
        <v>259</v>
      </c>
      <c r="J53" s="3" t="s">
        <v>10</v>
      </c>
      <c r="K53" s="72">
        <v>1</v>
      </c>
      <c r="L53" s="62"/>
      <c r="M53" s="47">
        <f t="shared" si="0"/>
        <v>0</v>
      </c>
      <c r="N53" s="45"/>
    </row>
    <row r="54" spans="2:14" x14ac:dyDescent="0.3">
      <c r="B54" s="42" t="s">
        <v>580</v>
      </c>
      <c r="C54" s="5" t="s">
        <v>234</v>
      </c>
      <c r="D54" s="54">
        <v>3</v>
      </c>
      <c r="E54" s="41" t="s">
        <v>909</v>
      </c>
      <c r="F54" s="3" t="s">
        <v>36</v>
      </c>
      <c r="G54" s="3" t="s">
        <v>244</v>
      </c>
      <c r="H54" s="9" t="s">
        <v>13</v>
      </c>
      <c r="I54" s="9">
        <v>747</v>
      </c>
      <c r="J54" s="3" t="s">
        <v>10</v>
      </c>
      <c r="K54" s="72">
        <v>1</v>
      </c>
      <c r="L54" s="62"/>
      <c r="M54" s="47">
        <f t="shared" si="0"/>
        <v>0</v>
      </c>
      <c r="N54" s="45"/>
    </row>
    <row r="55" spans="2:14" x14ac:dyDescent="0.3">
      <c r="B55" s="42" t="s">
        <v>582</v>
      </c>
      <c r="C55" s="5" t="s">
        <v>234</v>
      </c>
      <c r="D55" s="54">
        <v>3</v>
      </c>
      <c r="E55" s="41" t="s">
        <v>911</v>
      </c>
      <c r="F55" s="3" t="s">
        <v>36</v>
      </c>
      <c r="G55" s="3" t="s">
        <v>244</v>
      </c>
      <c r="H55" s="9" t="s">
        <v>13</v>
      </c>
      <c r="I55" s="9">
        <v>600</v>
      </c>
      <c r="J55" s="3" t="s">
        <v>10</v>
      </c>
      <c r="K55" s="72">
        <v>1</v>
      </c>
      <c r="L55" s="62"/>
      <c r="M55" s="47">
        <f t="shared" si="0"/>
        <v>0</v>
      </c>
      <c r="N55" s="45"/>
    </row>
    <row r="56" spans="2:14" x14ac:dyDescent="0.3">
      <c r="B56" s="42" t="s">
        <v>583</v>
      </c>
      <c r="C56" s="5" t="s">
        <v>234</v>
      </c>
      <c r="D56" s="54">
        <v>3</v>
      </c>
      <c r="E56" s="41" t="s">
        <v>912</v>
      </c>
      <c r="F56" s="3" t="s">
        <v>36</v>
      </c>
      <c r="G56" s="3" t="s">
        <v>244</v>
      </c>
      <c r="H56" s="9" t="s">
        <v>13</v>
      </c>
      <c r="I56" s="9">
        <v>800</v>
      </c>
      <c r="J56" s="3" t="s">
        <v>10</v>
      </c>
      <c r="K56" s="72">
        <v>1</v>
      </c>
      <c r="L56" s="62"/>
      <c r="M56" s="47">
        <f t="shared" si="0"/>
        <v>0</v>
      </c>
      <c r="N56" s="45"/>
    </row>
    <row r="57" spans="2:14" x14ac:dyDescent="0.3">
      <c r="B57" s="42" t="s">
        <v>712</v>
      </c>
      <c r="C57" s="5" t="s">
        <v>1280</v>
      </c>
      <c r="D57" s="54">
        <v>3</v>
      </c>
      <c r="E57" s="41" t="s">
        <v>1030</v>
      </c>
      <c r="F57" s="3" t="s">
        <v>36</v>
      </c>
      <c r="G57" s="3" t="s">
        <v>1322</v>
      </c>
      <c r="H57" s="9" t="s">
        <v>13</v>
      </c>
      <c r="I57" s="9" t="s">
        <v>1340</v>
      </c>
      <c r="J57" s="3" t="s">
        <v>11</v>
      </c>
      <c r="K57" s="72">
        <v>1</v>
      </c>
      <c r="L57" s="62"/>
      <c r="M57" s="47">
        <f t="shared" si="0"/>
        <v>0</v>
      </c>
      <c r="N57" s="45"/>
    </row>
    <row r="58" spans="2:14" x14ac:dyDescent="0.3">
      <c r="B58" s="42" t="s">
        <v>1037</v>
      </c>
      <c r="C58" s="5" t="s">
        <v>1033</v>
      </c>
      <c r="D58" s="54">
        <v>3</v>
      </c>
      <c r="E58" s="48" t="s">
        <v>1050</v>
      </c>
      <c r="F58" s="9" t="s">
        <v>36</v>
      </c>
      <c r="G58" s="9" t="s">
        <v>1046</v>
      </c>
      <c r="H58" s="9" t="s">
        <v>13</v>
      </c>
      <c r="I58" s="44" t="s">
        <v>1047</v>
      </c>
      <c r="J58" s="9" t="s">
        <v>11</v>
      </c>
      <c r="K58" s="72">
        <v>1</v>
      </c>
      <c r="L58" s="62"/>
      <c r="M58" s="47">
        <f t="shared" si="0"/>
        <v>0</v>
      </c>
      <c r="N58" s="56"/>
    </row>
    <row r="59" spans="2:14" x14ac:dyDescent="0.3">
      <c r="B59" s="42" t="s">
        <v>1036</v>
      </c>
      <c r="C59" s="5" t="s">
        <v>1033</v>
      </c>
      <c r="D59" s="54">
        <v>3</v>
      </c>
      <c r="E59" s="48" t="s">
        <v>1049</v>
      </c>
      <c r="F59" s="9" t="s">
        <v>36</v>
      </c>
      <c r="G59" s="9" t="s">
        <v>1046</v>
      </c>
      <c r="H59" s="9" t="s">
        <v>13</v>
      </c>
      <c r="I59" s="44" t="s">
        <v>1047</v>
      </c>
      <c r="J59" s="9" t="s">
        <v>11</v>
      </c>
      <c r="K59" s="72">
        <v>1</v>
      </c>
      <c r="L59" s="62"/>
      <c r="M59" s="47">
        <f t="shared" si="0"/>
        <v>0</v>
      </c>
      <c r="N59" s="56"/>
    </row>
    <row r="60" spans="2:14" x14ac:dyDescent="0.3">
      <c r="B60" s="42" t="s">
        <v>1038</v>
      </c>
      <c r="C60" s="5" t="s">
        <v>1033</v>
      </c>
      <c r="D60" s="54">
        <v>3</v>
      </c>
      <c r="E60" s="48" t="s">
        <v>1051</v>
      </c>
      <c r="F60" s="9" t="s">
        <v>36</v>
      </c>
      <c r="G60" s="9" t="s">
        <v>1046</v>
      </c>
      <c r="H60" s="9" t="s">
        <v>13</v>
      </c>
      <c r="I60" s="44" t="s">
        <v>1047</v>
      </c>
      <c r="J60" s="9" t="s">
        <v>11</v>
      </c>
      <c r="K60" s="72">
        <v>1</v>
      </c>
      <c r="L60" s="62"/>
      <c r="M60" s="47">
        <f t="shared" si="0"/>
        <v>0</v>
      </c>
      <c r="N60" s="56"/>
    </row>
    <row r="61" spans="2:14" x14ac:dyDescent="0.3">
      <c r="B61" s="42" t="s">
        <v>1035</v>
      </c>
      <c r="C61" s="5" t="s">
        <v>1033</v>
      </c>
      <c r="D61" s="54">
        <v>3</v>
      </c>
      <c r="E61" s="48" t="s">
        <v>1048</v>
      </c>
      <c r="F61" s="9" t="s">
        <v>36</v>
      </c>
      <c r="G61" s="9" t="s">
        <v>1046</v>
      </c>
      <c r="H61" s="9" t="s">
        <v>13</v>
      </c>
      <c r="I61" s="44" t="s">
        <v>1047</v>
      </c>
      <c r="J61" s="9" t="s">
        <v>11</v>
      </c>
      <c r="K61" s="72">
        <v>1</v>
      </c>
      <c r="L61" s="62"/>
      <c r="M61" s="47">
        <f t="shared" si="0"/>
        <v>0</v>
      </c>
      <c r="N61" s="56"/>
    </row>
    <row r="62" spans="2:14" x14ac:dyDescent="0.3">
      <c r="B62" s="42" t="s">
        <v>1034</v>
      </c>
      <c r="C62" s="5" t="s">
        <v>1033</v>
      </c>
      <c r="D62" s="54">
        <v>3</v>
      </c>
      <c r="E62" s="48" t="s">
        <v>1045</v>
      </c>
      <c r="F62" s="9" t="s">
        <v>36</v>
      </c>
      <c r="G62" s="9" t="s">
        <v>1046</v>
      </c>
      <c r="H62" s="9" t="s">
        <v>13</v>
      </c>
      <c r="I62" s="44" t="s">
        <v>1047</v>
      </c>
      <c r="J62" s="9" t="s">
        <v>11</v>
      </c>
      <c r="K62" s="72">
        <v>1</v>
      </c>
      <c r="L62" s="62"/>
      <c r="M62" s="47">
        <f t="shared" si="0"/>
        <v>0</v>
      </c>
      <c r="N62" s="56"/>
    </row>
    <row r="63" spans="2:14" x14ac:dyDescent="0.3">
      <c r="B63" s="42" t="s">
        <v>649</v>
      </c>
      <c r="C63" s="5" t="s">
        <v>285</v>
      </c>
      <c r="D63" s="54">
        <v>3</v>
      </c>
      <c r="E63" s="41" t="s">
        <v>978</v>
      </c>
      <c r="F63" s="3" t="s">
        <v>36</v>
      </c>
      <c r="G63" s="3">
        <v>51</v>
      </c>
      <c r="H63" s="9" t="s">
        <v>13</v>
      </c>
      <c r="I63" s="9" t="s">
        <v>1349</v>
      </c>
      <c r="J63" s="3" t="s">
        <v>10</v>
      </c>
      <c r="K63" s="72">
        <v>2</v>
      </c>
      <c r="L63" s="62"/>
      <c r="M63" s="47">
        <f t="shared" si="0"/>
        <v>0</v>
      </c>
      <c r="N63" s="45"/>
    </row>
    <row r="64" spans="2:14" x14ac:dyDescent="0.3">
      <c r="B64" s="42" t="s">
        <v>652</v>
      </c>
      <c r="C64" s="5" t="s">
        <v>285</v>
      </c>
      <c r="D64" s="54">
        <v>3</v>
      </c>
      <c r="E64" s="41" t="s">
        <v>981</v>
      </c>
      <c r="F64" s="3" t="s">
        <v>36</v>
      </c>
      <c r="G64" s="3" t="s">
        <v>290</v>
      </c>
      <c r="H64" s="9" t="s">
        <v>13</v>
      </c>
      <c r="I64" s="9" t="s">
        <v>1351</v>
      </c>
      <c r="J64" s="3" t="s">
        <v>10</v>
      </c>
      <c r="K64" s="72">
        <v>2</v>
      </c>
      <c r="L64" s="62"/>
      <c r="M64" s="47">
        <f t="shared" si="0"/>
        <v>0</v>
      </c>
      <c r="N64" s="45"/>
    </row>
    <row r="65" spans="2:14" x14ac:dyDescent="0.3">
      <c r="B65" s="42" t="s">
        <v>653</v>
      </c>
      <c r="C65" s="5" t="s">
        <v>285</v>
      </c>
      <c r="D65" s="54">
        <v>3</v>
      </c>
      <c r="E65" s="41" t="s">
        <v>982</v>
      </c>
      <c r="F65" s="3" t="s">
        <v>36</v>
      </c>
      <c r="G65" s="3" t="s">
        <v>290</v>
      </c>
      <c r="H65" s="9" t="s">
        <v>13</v>
      </c>
      <c r="I65" s="9" t="s">
        <v>1352</v>
      </c>
      <c r="J65" s="3" t="s">
        <v>10</v>
      </c>
      <c r="K65" s="72">
        <v>2</v>
      </c>
      <c r="L65" s="62"/>
      <c r="M65" s="47">
        <f t="shared" si="0"/>
        <v>0</v>
      </c>
      <c r="N65" s="45"/>
    </row>
    <row r="66" spans="2:14" x14ac:dyDescent="0.3">
      <c r="B66" s="42" t="s">
        <v>654</v>
      </c>
      <c r="C66" s="5" t="s">
        <v>285</v>
      </c>
      <c r="D66" s="54">
        <v>3</v>
      </c>
      <c r="E66" s="41" t="s">
        <v>983</v>
      </c>
      <c r="F66" s="3" t="s">
        <v>36</v>
      </c>
      <c r="G66" s="3" t="s">
        <v>290</v>
      </c>
      <c r="H66" s="9" t="s">
        <v>13</v>
      </c>
      <c r="I66" s="9" t="s">
        <v>1352</v>
      </c>
      <c r="J66" s="3" t="s">
        <v>10</v>
      </c>
      <c r="K66" s="72">
        <v>2</v>
      </c>
      <c r="L66" s="62"/>
      <c r="M66" s="47">
        <f t="shared" si="0"/>
        <v>0</v>
      </c>
      <c r="N66" s="45"/>
    </row>
    <row r="67" spans="2:14" x14ac:dyDescent="0.3">
      <c r="B67" s="42" t="s">
        <v>655</v>
      </c>
      <c r="C67" s="5" t="s">
        <v>285</v>
      </c>
      <c r="D67" s="54">
        <v>3</v>
      </c>
      <c r="E67" s="41" t="s">
        <v>984</v>
      </c>
      <c r="F67" s="3" t="s">
        <v>36</v>
      </c>
      <c r="G67" s="3" t="s">
        <v>290</v>
      </c>
      <c r="H67" s="9" t="s">
        <v>13</v>
      </c>
      <c r="I67" s="9" t="s">
        <v>1352</v>
      </c>
      <c r="J67" s="3" t="s">
        <v>10</v>
      </c>
      <c r="K67" s="72">
        <v>2</v>
      </c>
      <c r="L67" s="62"/>
      <c r="M67" s="47">
        <f t="shared" si="0"/>
        <v>0</v>
      </c>
      <c r="N67" s="45"/>
    </row>
    <row r="68" spans="2:14" x14ac:dyDescent="0.3">
      <c r="B68" s="42" t="s">
        <v>1246</v>
      </c>
      <c r="C68" s="5" t="s">
        <v>1245</v>
      </c>
      <c r="D68" s="54">
        <v>3</v>
      </c>
      <c r="E68" s="41" t="s">
        <v>1272</v>
      </c>
      <c r="F68" s="3" t="s">
        <v>36</v>
      </c>
      <c r="G68" s="3"/>
      <c r="H68" s="9" t="s">
        <v>13</v>
      </c>
      <c r="I68" s="9"/>
      <c r="J68" s="3" t="s">
        <v>11</v>
      </c>
      <c r="K68" s="72">
        <v>5</v>
      </c>
      <c r="L68" s="62"/>
      <c r="M68" s="47">
        <f t="shared" si="0"/>
        <v>0</v>
      </c>
      <c r="N68" s="45">
        <v>522204685</v>
      </c>
    </row>
    <row r="69" spans="2:14" x14ac:dyDescent="0.3">
      <c r="B69" s="67" t="s">
        <v>351</v>
      </c>
      <c r="C69" s="54" t="s">
        <v>1312</v>
      </c>
      <c r="D69" s="54">
        <v>3</v>
      </c>
      <c r="E69" s="52" t="s">
        <v>749</v>
      </c>
      <c r="F69" s="54" t="s">
        <v>36</v>
      </c>
      <c r="G69" s="54" t="s">
        <v>37</v>
      </c>
      <c r="H69" s="54" t="s">
        <v>13</v>
      </c>
      <c r="I69" s="54" t="s">
        <v>686</v>
      </c>
      <c r="J69" s="54" t="s">
        <v>686</v>
      </c>
      <c r="K69" s="73">
        <v>2</v>
      </c>
      <c r="L69" s="65"/>
      <c r="M69" s="47">
        <f t="shared" si="0"/>
        <v>0</v>
      </c>
      <c r="N69" s="45"/>
    </row>
    <row r="70" spans="2:14" x14ac:dyDescent="0.3">
      <c r="B70" s="67" t="s">
        <v>357</v>
      </c>
      <c r="C70" s="54" t="s">
        <v>1312</v>
      </c>
      <c r="D70" s="54">
        <v>3</v>
      </c>
      <c r="E70" s="52" t="s">
        <v>755</v>
      </c>
      <c r="F70" s="54" t="s">
        <v>36</v>
      </c>
      <c r="G70" s="54" t="s">
        <v>38</v>
      </c>
      <c r="H70" s="54" t="s">
        <v>13</v>
      </c>
      <c r="I70" s="54" t="s">
        <v>686</v>
      </c>
      <c r="J70" s="54" t="s">
        <v>686</v>
      </c>
      <c r="K70" s="73">
        <v>2</v>
      </c>
      <c r="L70" s="65"/>
      <c r="M70" s="47">
        <f t="shared" si="0"/>
        <v>0</v>
      </c>
      <c r="N70" s="45"/>
    </row>
    <row r="71" spans="2:14" x14ac:dyDescent="0.3">
      <c r="B71" s="67" t="s">
        <v>353</v>
      </c>
      <c r="C71" s="54" t="s">
        <v>1312</v>
      </c>
      <c r="D71" s="54">
        <v>3</v>
      </c>
      <c r="E71" s="52" t="s">
        <v>751</v>
      </c>
      <c r="F71" s="54" t="s">
        <v>36</v>
      </c>
      <c r="G71" s="54" t="s">
        <v>39</v>
      </c>
      <c r="H71" s="54" t="s">
        <v>13</v>
      </c>
      <c r="I71" s="60">
        <v>25000</v>
      </c>
      <c r="J71" s="54" t="s">
        <v>686</v>
      </c>
      <c r="K71" s="73">
        <v>1</v>
      </c>
      <c r="L71" s="65"/>
      <c r="M71" s="47">
        <f t="shared" si="0"/>
        <v>0</v>
      </c>
      <c r="N71" s="45"/>
    </row>
    <row r="72" spans="2:14" x14ac:dyDescent="0.3">
      <c r="B72" s="67" t="s">
        <v>350</v>
      </c>
      <c r="C72" s="54" t="s">
        <v>1312</v>
      </c>
      <c r="D72" s="54">
        <v>3</v>
      </c>
      <c r="E72" s="52" t="s">
        <v>748</v>
      </c>
      <c r="F72" s="54" t="s">
        <v>36</v>
      </c>
      <c r="G72" s="54" t="s">
        <v>37</v>
      </c>
      <c r="H72" s="54" t="s">
        <v>13</v>
      </c>
      <c r="I72" s="60">
        <v>40000</v>
      </c>
      <c r="J72" s="54" t="s">
        <v>11</v>
      </c>
      <c r="K72" s="73">
        <v>2</v>
      </c>
      <c r="L72" s="65"/>
      <c r="M72" s="47">
        <f t="shared" si="0"/>
        <v>0</v>
      </c>
      <c r="N72" s="45"/>
    </row>
    <row r="73" spans="2:14" x14ac:dyDescent="0.3">
      <c r="B73" s="67" t="s">
        <v>354</v>
      </c>
      <c r="C73" s="54" t="s">
        <v>1312</v>
      </c>
      <c r="D73" s="54">
        <v>3</v>
      </c>
      <c r="E73" s="52" t="s">
        <v>752</v>
      </c>
      <c r="F73" s="54" t="s">
        <v>36</v>
      </c>
      <c r="G73" s="54" t="s">
        <v>39</v>
      </c>
      <c r="H73" s="54" t="s">
        <v>13</v>
      </c>
      <c r="I73" s="60">
        <v>15000</v>
      </c>
      <c r="J73" s="54" t="s">
        <v>11</v>
      </c>
      <c r="K73" s="73">
        <v>1</v>
      </c>
      <c r="L73" s="65"/>
      <c r="M73" s="47">
        <f t="shared" si="0"/>
        <v>0</v>
      </c>
      <c r="N73" s="45"/>
    </row>
    <row r="74" spans="2:14" x14ac:dyDescent="0.3">
      <c r="B74" s="67" t="s">
        <v>355</v>
      </c>
      <c r="C74" s="54" t="s">
        <v>1312</v>
      </c>
      <c r="D74" s="54">
        <v>3</v>
      </c>
      <c r="E74" s="52" t="s">
        <v>753</v>
      </c>
      <c r="F74" s="54" t="s">
        <v>36</v>
      </c>
      <c r="G74" s="54" t="s">
        <v>39</v>
      </c>
      <c r="H74" s="54" t="s">
        <v>13</v>
      </c>
      <c r="I74" s="60">
        <v>15000</v>
      </c>
      <c r="J74" s="54" t="s">
        <v>11</v>
      </c>
      <c r="K74" s="73">
        <v>2</v>
      </c>
      <c r="L74" s="65"/>
      <c r="M74" s="47">
        <f t="shared" si="0"/>
        <v>0</v>
      </c>
      <c r="N74" s="45"/>
    </row>
    <row r="75" spans="2:14" x14ac:dyDescent="0.3">
      <c r="B75" s="67" t="s">
        <v>356</v>
      </c>
      <c r="C75" s="54" t="s">
        <v>1312</v>
      </c>
      <c r="D75" s="54">
        <v>3</v>
      </c>
      <c r="E75" s="52" t="s">
        <v>754</v>
      </c>
      <c r="F75" s="54" t="s">
        <v>36</v>
      </c>
      <c r="G75" s="54" t="s">
        <v>39</v>
      </c>
      <c r="H75" s="54" t="s">
        <v>13</v>
      </c>
      <c r="I75" s="60">
        <v>15000</v>
      </c>
      <c r="J75" s="54" t="s">
        <v>11</v>
      </c>
      <c r="K75" s="73">
        <v>1</v>
      </c>
      <c r="L75" s="65"/>
      <c r="M75" s="47">
        <f t="shared" si="0"/>
        <v>0</v>
      </c>
      <c r="N75" s="45"/>
    </row>
    <row r="76" spans="2:14" x14ac:dyDescent="0.3">
      <c r="B76" s="67" t="s">
        <v>352</v>
      </c>
      <c r="C76" s="54" t="s">
        <v>1312</v>
      </c>
      <c r="D76" s="54">
        <v>3</v>
      </c>
      <c r="E76" s="52" t="s">
        <v>750</v>
      </c>
      <c r="F76" s="54" t="s">
        <v>36</v>
      </c>
      <c r="G76" s="54" t="s">
        <v>39</v>
      </c>
      <c r="H76" s="54" t="s">
        <v>13</v>
      </c>
      <c r="I76" s="60">
        <v>15000</v>
      </c>
      <c r="J76" s="54" t="s">
        <v>11</v>
      </c>
      <c r="K76" s="73">
        <v>3</v>
      </c>
      <c r="L76" s="65"/>
      <c r="M76" s="47">
        <f t="shared" si="0"/>
        <v>0</v>
      </c>
      <c r="N76" s="45"/>
    </row>
    <row r="77" spans="2:14" x14ac:dyDescent="0.3">
      <c r="B77" s="67" t="s">
        <v>368</v>
      </c>
      <c r="C77" s="54" t="s">
        <v>1312</v>
      </c>
      <c r="D77" s="54">
        <v>3</v>
      </c>
      <c r="E77" s="52" t="s">
        <v>768</v>
      </c>
      <c r="F77" s="54" t="s">
        <v>36</v>
      </c>
      <c r="G77" s="54" t="s">
        <v>40</v>
      </c>
      <c r="H77" s="54" t="s">
        <v>13</v>
      </c>
      <c r="I77" s="36">
        <v>2500</v>
      </c>
      <c r="J77" s="54" t="s">
        <v>10</v>
      </c>
      <c r="K77" s="73">
        <v>2</v>
      </c>
      <c r="L77" s="65"/>
      <c r="M77" s="47">
        <f t="shared" si="0"/>
        <v>0</v>
      </c>
      <c r="N77" s="45"/>
    </row>
    <row r="78" spans="2:14" x14ac:dyDescent="0.3">
      <c r="B78" s="67" t="s">
        <v>369</v>
      </c>
      <c r="C78" s="54" t="s">
        <v>1312</v>
      </c>
      <c r="D78" s="54">
        <v>3</v>
      </c>
      <c r="E78" s="52" t="s">
        <v>769</v>
      </c>
      <c r="F78" s="54" t="s">
        <v>36</v>
      </c>
      <c r="G78" s="54" t="s">
        <v>41</v>
      </c>
      <c r="H78" s="54" t="s">
        <v>13</v>
      </c>
      <c r="I78" s="46">
        <v>6000</v>
      </c>
      <c r="J78" s="54" t="s">
        <v>10</v>
      </c>
      <c r="K78" s="73">
        <v>97</v>
      </c>
      <c r="L78" s="65"/>
      <c r="M78" s="47">
        <f t="shared" ref="M78:M132" si="1">+K78*L78</f>
        <v>0</v>
      </c>
      <c r="N78" s="45"/>
    </row>
    <row r="79" spans="2:14" x14ac:dyDescent="0.3">
      <c r="B79" s="42" t="s">
        <v>651</v>
      </c>
      <c r="C79" s="5" t="s">
        <v>285</v>
      </c>
      <c r="D79" s="5">
        <v>4</v>
      </c>
      <c r="E79" s="41" t="s">
        <v>980</v>
      </c>
      <c r="F79" s="3" t="s">
        <v>36</v>
      </c>
      <c r="G79" s="3" t="s">
        <v>288</v>
      </c>
      <c r="H79" s="9" t="s">
        <v>1275</v>
      </c>
      <c r="I79" s="9" t="s">
        <v>1347</v>
      </c>
      <c r="J79" s="3" t="s">
        <v>10</v>
      </c>
      <c r="K79" s="72">
        <v>50</v>
      </c>
      <c r="L79" s="62"/>
      <c r="M79" s="47">
        <f t="shared" si="1"/>
        <v>0</v>
      </c>
      <c r="N79" s="45"/>
    </row>
    <row r="80" spans="2:14" x14ac:dyDescent="0.3">
      <c r="B80" s="42" t="s">
        <v>647</v>
      </c>
      <c r="C80" s="5" t="s">
        <v>285</v>
      </c>
      <c r="D80" s="5">
        <v>4</v>
      </c>
      <c r="E80" s="41" t="s">
        <v>976</v>
      </c>
      <c r="F80" s="3" t="s">
        <v>36</v>
      </c>
      <c r="G80" s="3" t="s">
        <v>287</v>
      </c>
      <c r="H80" s="9" t="s">
        <v>1275</v>
      </c>
      <c r="I80" s="9" t="s">
        <v>1348</v>
      </c>
      <c r="J80" s="3" t="s">
        <v>10</v>
      </c>
      <c r="K80" s="72">
        <v>4</v>
      </c>
      <c r="L80" s="62"/>
      <c r="M80" s="47">
        <f t="shared" si="1"/>
        <v>0</v>
      </c>
      <c r="N80" s="45"/>
    </row>
    <row r="81" spans="2:14" x14ac:dyDescent="0.3">
      <c r="B81" s="42" t="s">
        <v>650</v>
      </c>
      <c r="C81" s="5" t="s">
        <v>285</v>
      </c>
      <c r="D81" s="5">
        <v>4</v>
      </c>
      <c r="E81" s="41" t="s">
        <v>979</v>
      </c>
      <c r="F81" s="3" t="s">
        <v>36</v>
      </c>
      <c r="G81" s="3" t="s">
        <v>289</v>
      </c>
      <c r="H81" s="9" t="s">
        <v>1275</v>
      </c>
      <c r="I81" s="9" t="s">
        <v>1350</v>
      </c>
      <c r="J81" s="3" t="s">
        <v>10</v>
      </c>
      <c r="K81" s="72">
        <v>5</v>
      </c>
      <c r="L81" s="62"/>
      <c r="M81" s="47">
        <f t="shared" si="1"/>
        <v>0</v>
      </c>
      <c r="N81" s="45"/>
    </row>
    <row r="82" spans="2:14" x14ac:dyDescent="0.3">
      <c r="B82" s="42" t="s">
        <v>648</v>
      </c>
      <c r="C82" s="5" t="s">
        <v>285</v>
      </c>
      <c r="D82" s="5">
        <v>4</v>
      </c>
      <c r="E82" s="41" t="s">
        <v>977</v>
      </c>
      <c r="F82" s="3" t="s">
        <v>36</v>
      </c>
      <c r="G82" s="3" t="s">
        <v>286</v>
      </c>
      <c r="H82" s="9" t="s">
        <v>1275</v>
      </c>
      <c r="I82" s="9" t="s">
        <v>1325</v>
      </c>
      <c r="J82" s="3" t="s">
        <v>10</v>
      </c>
      <c r="K82" s="72">
        <v>150</v>
      </c>
      <c r="L82" s="62"/>
      <c r="M82" s="47">
        <f t="shared" si="1"/>
        <v>0</v>
      </c>
      <c r="N82" s="56"/>
    </row>
    <row r="83" spans="2:14" x14ac:dyDescent="0.3">
      <c r="B83" s="42" t="s">
        <v>1247</v>
      </c>
      <c r="C83" s="5" t="s">
        <v>1245</v>
      </c>
      <c r="D83" s="5">
        <v>4</v>
      </c>
      <c r="E83" s="41" t="s">
        <v>1273</v>
      </c>
      <c r="F83" s="3" t="s">
        <v>36</v>
      </c>
      <c r="G83" s="3" t="s">
        <v>1274</v>
      </c>
      <c r="H83" s="9" t="s">
        <v>1275</v>
      </c>
      <c r="I83" s="9"/>
      <c r="J83" s="3" t="s">
        <v>11</v>
      </c>
      <c r="K83" s="72">
        <v>750</v>
      </c>
      <c r="L83" s="62"/>
      <c r="M83" s="47">
        <f t="shared" si="1"/>
        <v>0</v>
      </c>
      <c r="N83" s="45">
        <v>522204690</v>
      </c>
    </row>
    <row r="84" spans="2:14" x14ac:dyDescent="0.3">
      <c r="B84" s="67" t="s">
        <v>2109</v>
      </c>
      <c r="C84" s="54" t="s">
        <v>1312</v>
      </c>
      <c r="D84" s="54">
        <v>5</v>
      </c>
      <c r="E84" s="50" t="s">
        <v>1735</v>
      </c>
      <c r="F84" s="54" t="s">
        <v>1504</v>
      </c>
      <c r="G84" s="54" t="s">
        <v>1505</v>
      </c>
      <c r="H84" s="54" t="s">
        <v>13</v>
      </c>
      <c r="I84" s="54" t="s">
        <v>686</v>
      </c>
      <c r="J84" s="54" t="s">
        <v>686</v>
      </c>
      <c r="K84" s="73">
        <v>4</v>
      </c>
      <c r="L84" s="65"/>
      <c r="M84" s="47">
        <f t="shared" si="1"/>
        <v>0</v>
      </c>
      <c r="N84" s="45"/>
    </row>
    <row r="85" spans="2:14" x14ac:dyDescent="0.3">
      <c r="B85" s="42" t="s">
        <v>1847</v>
      </c>
      <c r="C85" s="5" t="s">
        <v>1396</v>
      </c>
      <c r="D85" s="5">
        <v>6</v>
      </c>
      <c r="E85" s="41" t="s">
        <v>1552</v>
      </c>
      <c r="F85" s="3" t="s">
        <v>20</v>
      </c>
      <c r="G85" s="3" t="s">
        <v>43</v>
      </c>
      <c r="H85" s="9" t="s">
        <v>13</v>
      </c>
      <c r="I85" s="3" t="s">
        <v>10</v>
      </c>
      <c r="J85" s="3" t="s">
        <v>10</v>
      </c>
      <c r="K85" s="72">
        <v>6</v>
      </c>
      <c r="L85" s="62"/>
      <c r="M85" s="47">
        <f t="shared" si="1"/>
        <v>0</v>
      </c>
      <c r="N85" s="45"/>
    </row>
    <row r="86" spans="2:14" x14ac:dyDescent="0.3">
      <c r="B86" s="42" t="s">
        <v>1863</v>
      </c>
      <c r="C86" s="5" t="s">
        <v>1223</v>
      </c>
      <c r="D86" s="5">
        <v>6</v>
      </c>
      <c r="E86" s="48" t="s">
        <v>1367</v>
      </c>
      <c r="F86" s="3" t="s">
        <v>20</v>
      </c>
      <c r="G86" s="9" t="s">
        <v>1366</v>
      </c>
      <c r="H86" s="9" t="s">
        <v>13</v>
      </c>
      <c r="I86" s="9"/>
      <c r="J86" s="3" t="s">
        <v>11</v>
      </c>
      <c r="K86" s="72">
        <v>5</v>
      </c>
      <c r="L86" s="62"/>
      <c r="M86" s="47">
        <f t="shared" si="1"/>
        <v>0</v>
      </c>
      <c r="N86" s="45"/>
    </row>
    <row r="87" spans="2:14" x14ac:dyDescent="0.3">
      <c r="B87" s="42" t="s">
        <v>1864</v>
      </c>
      <c r="C87" s="5" t="s">
        <v>1223</v>
      </c>
      <c r="D87" s="5">
        <v>6</v>
      </c>
      <c r="E87" s="48" t="s">
        <v>1365</v>
      </c>
      <c r="F87" s="3" t="s">
        <v>20</v>
      </c>
      <c r="G87" s="9" t="s">
        <v>1366</v>
      </c>
      <c r="H87" s="9" t="s">
        <v>13</v>
      </c>
      <c r="I87" s="9"/>
      <c r="J87" s="3" t="s">
        <v>11</v>
      </c>
      <c r="K87" s="72">
        <v>5</v>
      </c>
      <c r="L87" s="62"/>
      <c r="M87" s="47">
        <f t="shared" si="1"/>
        <v>0</v>
      </c>
      <c r="N87" s="45"/>
    </row>
    <row r="88" spans="2:14" x14ac:dyDescent="0.3">
      <c r="B88" s="42" t="s">
        <v>1865</v>
      </c>
      <c r="C88" s="5" t="s">
        <v>1223</v>
      </c>
      <c r="D88" s="5">
        <v>6</v>
      </c>
      <c r="E88" s="48" t="s">
        <v>1368</v>
      </c>
      <c r="F88" s="3" t="s">
        <v>20</v>
      </c>
      <c r="G88" s="9" t="s">
        <v>1366</v>
      </c>
      <c r="H88" s="9" t="s">
        <v>13</v>
      </c>
      <c r="I88" s="9"/>
      <c r="J88" s="3" t="s">
        <v>11</v>
      </c>
      <c r="K88" s="72">
        <v>5</v>
      </c>
      <c r="L88" s="62"/>
      <c r="M88" s="47">
        <f t="shared" si="1"/>
        <v>0</v>
      </c>
      <c r="N88" s="45"/>
    </row>
    <row r="89" spans="2:14" x14ac:dyDescent="0.3">
      <c r="B89" s="42" t="s">
        <v>1866</v>
      </c>
      <c r="C89" s="5" t="s">
        <v>1223</v>
      </c>
      <c r="D89" s="5">
        <v>6</v>
      </c>
      <c r="E89" s="48" t="s">
        <v>1369</v>
      </c>
      <c r="F89" s="3" t="s">
        <v>20</v>
      </c>
      <c r="G89" s="9" t="s">
        <v>1366</v>
      </c>
      <c r="H89" s="9" t="s">
        <v>13</v>
      </c>
      <c r="I89" s="9"/>
      <c r="J89" s="3" t="s">
        <v>11</v>
      </c>
      <c r="K89" s="72">
        <v>5</v>
      </c>
      <c r="L89" s="62"/>
      <c r="M89" s="47">
        <f t="shared" si="1"/>
        <v>0</v>
      </c>
      <c r="N89" s="45"/>
    </row>
    <row r="90" spans="2:14" x14ac:dyDescent="0.3">
      <c r="B90" s="42" t="s">
        <v>1867</v>
      </c>
      <c r="C90" s="5" t="s">
        <v>1223</v>
      </c>
      <c r="D90" s="5">
        <v>6</v>
      </c>
      <c r="E90" s="41" t="s">
        <v>1742</v>
      </c>
      <c r="F90" s="3" t="s">
        <v>20</v>
      </c>
      <c r="G90" s="3" t="s">
        <v>1360</v>
      </c>
      <c r="H90" s="9" t="s">
        <v>13</v>
      </c>
      <c r="I90" s="3"/>
      <c r="J90" s="3" t="s">
        <v>11</v>
      </c>
      <c r="K90" s="72">
        <v>1</v>
      </c>
      <c r="L90" s="62"/>
      <c r="M90" s="47">
        <f t="shared" si="1"/>
        <v>0</v>
      </c>
      <c r="N90" s="45"/>
    </row>
    <row r="91" spans="2:14" x14ac:dyDescent="0.3">
      <c r="B91" s="42" t="s">
        <v>1868</v>
      </c>
      <c r="C91" s="5" t="s">
        <v>1223</v>
      </c>
      <c r="D91" s="5">
        <v>6</v>
      </c>
      <c r="E91" s="41" t="s">
        <v>1743</v>
      </c>
      <c r="F91" s="3" t="s">
        <v>20</v>
      </c>
      <c r="G91" s="3" t="s">
        <v>1360</v>
      </c>
      <c r="H91" s="9" t="s">
        <v>13</v>
      </c>
      <c r="I91" s="3"/>
      <c r="J91" s="3" t="s">
        <v>11</v>
      </c>
      <c r="K91" s="72">
        <v>1</v>
      </c>
      <c r="L91" s="62"/>
      <c r="M91" s="47">
        <f t="shared" si="1"/>
        <v>0</v>
      </c>
      <c r="N91" s="45"/>
    </row>
    <row r="92" spans="2:14" x14ac:dyDescent="0.3">
      <c r="B92" s="42" t="s">
        <v>1869</v>
      </c>
      <c r="C92" s="5" t="s">
        <v>1223</v>
      </c>
      <c r="D92" s="5">
        <v>6</v>
      </c>
      <c r="E92" s="41" t="s">
        <v>1741</v>
      </c>
      <c r="F92" s="3" t="s">
        <v>20</v>
      </c>
      <c r="G92" s="3" t="s">
        <v>1360</v>
      </c>
      <c r="H92" s="9" t="s">
        <v>13</v>
      </c>
      <c r="I92" s="3"/>
      <c r="J92" s="3" t="s">
        <v>11</v>
      </c>
      <c r="K92" s="72">
        <v>1</v>
      </c>
      <c r="L92" s="62"/>
      <c r="M92" s="47">
        <f t="shared" si="1"/>
        <v>0</v>
      </c>
      <c r="N92" s="45"/>
    </row>
    <row r="93" spans="2:14" x14ac:dyDescent="0.3">
      <c r="B93" s="42" t="s">
        <v>1870</v>
      </c>
      <c r="C93" s="5" t="s">
        <v>1223</v>
      </c>
      <c r="D93" s="5">
        <v>6</v>
      </c>
      <c r="E93" s="41" t="s">
        <v>1744</v>
      </c>
      <c r="F93" s="3" t="s">
        <v>20</v>
      </c>
      <c r="G93" s="3" t="s">
        <v>1360</v>
      </c>
      <c r="H93" s="9" t="s">
        <v>13</v>
      </c>
      <c r="I93" s="3"/>
      <c r="J93" s="3" t="s">
        <v>11</v>
      </c>
      <c r="K93" s="72">
        <v>1</v>
      </c>
      <c r="L93" s="62"/>
      <c r="M93" s="47">
        <f t="shared" si="1"/>
        <v>0</v>
      </c>
      <c r="N93" s="45"/>
    </row>
    <row r="94" spans="2:14" x14ac:dyDescent="0.3">
      <c r="B94" s="42" t="s">
        <v>1871</v>
      </c>
      <c r="C94" s="5" t="s">
        <v>1223</v>
      </c>
      <c r="D94" s="5">
        <v>6</v>
      </c>
      <c r="E94" s="48" t="s">
        <v>1739</v>
      </c>
      <c r="F94" s="3" t="s">
        <v>20</v>
      </c>
      <c r="G94" s="9" t="s">
        <v>1630</v>
      </c>
      <c r="H94" s="9" t="s">
        <v>13</v>
      </c>
      <c r="I94" s="9"/>
      <c r="J94" s="3" t="s">
        <v>11</v>
      </c>
      <c r="K94" s="72">
        <v>5</v>
      </c>
      <c r="L94" s="62"/>
      <c r="M94" s="47">
        <f t="shared" si="1"/>
        <v>0</v>
      </c>
      <c r="N94" s="45"/>
    </row>
    <row r="95" spans="2:14" x14ac:dyDescent="0.3">
      <c r="B95" s="42" t="s">
        <v>1872</v>
      </c>
      <c r="C95" s="5" t="s">
        <v>1223</v>
      </c>
      <c r="D95" s="5">
        <v>6</v>
      </c>
      <c r="E95" s="41" t="s">
        <v>1702</v>
      </c>
      <c r="F95" s="3" t="s">
        <v>20</v>
      </c>
      <c r="G95" s="9" t="s">
        <v>1361</v>
      </c>
      <c r="H95" s="9" t="s">
        <v>13</v>
      </c>
      <c r="I95" s="3"/>
      <c r="J95" s="3" t="s">
        <v>11</v>
      </c>
      <c r="K95" s="72">
        <v>2</v>
      </c>
      <c r="L95" s="62"/>
      <c r="M95" s="47">
        <f t="shared" si="1"/>
        <v>0</v>
      </c>
      <c r="N95" s="45"/>
    </row>
    <row r="96" spans="2:14" x14ac:dyDescent="0.3">
      <c r="B96" s="42" t="s">
        <v>1894</v>
      </c>
      <c r="C96" s="5" t="s">
        <v>1787</v>
      </c>
      <c r="D96" s="5">
        <v>6</v>
      </c>
      <c r="E96" s="41" t="s">
        <v>1814</v>
      </c>
      <c r="F96" s="3" t="s">
        <v>20</v>
      </c>
      <c r="G96" s="3" t="s">
        <v>686</v>
      </c>
      <c r="H96" s="9" t="s">
        <v>13</v>
      </c>
      <c r="I96" s="3"/>
      <c r="J96" s="3"/>
      <c r="K96" s="72">
        <v>2</v>
      </c>
      <c r="L96" s="62"/>
      <c r="M96" s="47">
        <f t="shared" si="1"/>
        <v>0</v>
      </c>
      <c r="N96" s="45"/>
    </row>
    <row r="97" spans="2:14" x14ac:dyDescent="0.3">
      <c r="B97" s="42" t="s">
        <v>2019</v>
      </c>
      <c r="C97" s="5" t="s">
        <v>1108</v>
      </c>
      <c r="D97" s="5">
        <v>6</v>
      </c>
      <c r="E97" s="41" t="s">
        <v>1748</v>
      </c>
      <c r="F97" s="3" t="s">
        <v>20</v>
      </c>
      <c r="G97" s="3" t="s">
        <v>1091</v>
      </c>
      <c r="H97" s="9" t="s">
        <v>13</v>
      </c>
      <c r="I97" s="3"/>
      <c r="J97" s="3"/>
      <c r="K97" s="72">
        <v>17</v>
      </c>
      <c r="L97" s="62"/>
      <c r="M97" s="47">
        <f t="shared" si="1"/>
        <v>0</v>
      </c>
      <c r="N97" s="45"/>
    </row>
    <row r="98" spans="2:14" x14ac:dyDescent="0.3">
      <c r="B98" s="42" t="s">
        <v>2020</v>
      </c>
      <c r="C98" s="5" t="s">
        <v>1108</v>
      </c>
      <c r="D98" s="5">
        <v>6</v>
      </c>
      <c r="E98" s="41" t="s">
        <v>1749</v>
      </c>
      <c r="F98" s="3" t="s">
        <v>20</v>
      </c>
      <c r="G98" s="3" t="s">
        <v>1091</v>
      </c>
      <c r="H98" s="9" t="s">
        <v>13</v>
      </c>
      <c r="I98" s="3"/>
      <c r="J98" s="3"/>
      <c r="K98" s="72">
        <v>17</v>
      </c>
      <c r="L98" s="62"/>
      <c r="M98" s="47">
        <f t="shared" si="1"/>
        <v>0</v>
      </c>
      <c r="N98" s="45"/>
    </row>
    <row r="99" spans="2:14" x14ac:dyDescent="0.3">
      <c r="B99" s="67" t="s">
        <v>2070</v>
      </c>
      <c r="C99" s="5" t="s">
        <v>1241</v>
      </c>
      <c r="D99" s="5">
        <v>6</v>
      </c>
      <c r="E99" s="41" t="s">
        <v>1677</v>
      </c>
      <c r="F99" s="3" t="s">
        <v>20</v>
      </c>
      <c r="G99" s="3" t="s">
        <v>29</v>
      </c>
      <c r="H99" s="3" t="s">
        <v>13</v>
      </c>
      <c r="I99" s="54" t="s">
        <v>686</v>
      </c>
      <c r="J99" s="3" t="s">
        <v>10</v>
      </c>
      <c r="K99" s="72">
        <v>1</v>
      </c>
      <c r="L99" s="62"/>
      <c r="M99" s="47">
        <f t="shared" si="1"/>
        <v>0</v>
      </c>
      <c r="N99" s="45"/>
    </row>
    <row r="100" spans="2:14" x14ac:dyDescent="0.3">
      <c r="B100" s="67" t="s">
        <v>2071</v>
      </c>
      <c r="C100" s="5" t="s">
        <v>1241</v>
      </c>
      <c r="D100" s="5">
        <v>6</v>
      </c>
      <c r="E100" s="41" t="s">
        <v>1695</v>
      </c>
      <c r="F100" s="3" t="s">
        <v>20</v>
      </c>
      <c r="G100" s="3" t="s">
        <v>1472</v>
      </c>
      <c r="H100" s="3" t="s">
        <v>13</v>
      </c>
      <c r="I100" s="54" t="s">
        <v>686</v>
      </c>
      <c r="J100" s="3" t="s">
        <v>10</v>
      </c>
      <c r="K100" s="72">
        <v>1</v>
      </c>
      <c r="L100" s="62"/>
      <c r="M100" s="47">
        <f t="shared" si="1"/>
        <v>0</v>
      </c>
      <c r="N100" s="45"/>
    </row>
    <row r="101" spans="2:14" x14ac:dyDescent="0.3">
      <c r="B101" s="67" t="s">
        <v>2072</v>
      </c>
      <c r="C101" s="5" t="s">
        <v>1241</v>
      </c>
      <c r="D101" s="5">
        <v>6</v>
      </c>
      <c r="E101" s="41" t="s">
        <v>1696</v>
      </c>
      <c r="F101" s="3" t="s">
        <v>20</v>
      </c>
      <c r="G101" s="3" t="s">
        <v>1472</v>
      </c>
      <c r="H101" s="3" t="s">
        <v>13</v>
      </c>
      <c r="I101" s="54" t="s">
        <v>686</v>
      </c>
      <c r="J101" s="3" t="s">
        <v>10</v>
      </c>
      <c r="K101" s="72">
        <v>1</v>
      </c>
      <c r="L101" s="62"/>
      <c r="M101" s="47">
        <f t="shared" si="1"/>
        <v>0</v>
      </c>
      <c r="N101" s="45"/>
    </row>
    <row r="102" spans="2:14" x14ac:dyDescent="0.3">
      <c r="B102" s="67" t="s">
        <v>2073</v>
      </c>
      <c r="C102" s="5" t="s">
        <v>1241</v>
      </c>
      <c r="D102" s="5">
        <v>6</v>
      </c>
      <c r="E102" s="41" t="s">
        <v>1688</v>
      </c>
      <c r="F102" s="3" t="s">
        <v>20</v>
      </c>
      <c r="G102" s="3" t="s">
        <v>1472</v>
      </c>
      <c r="H102" s="3" t="s">
        <v>13</v>
      </c>
      <c r="I102" s="54" t="s">
        <v>686</v>
      </c>
      <c r="J102" s="3" t="s">
        <v>10</v>
      </c>
      <c r="K102" s="72">
        <v>1</v>
      </c>
      <c r="L102" s="62"/>
      <c r="M102" s="47">
        <f t="shared" si="1"/>
        <v>0</v>
      </c>
      <c r="N102" s="45"/>
    </row>
    <row r="103" spans="2:14" x14ac:dyDescent="0.3">
      <c r="B103" s="67" t="s">
        <v>2074</v>
      </c>
      <c r="C103" s="5" t="s">
        <v>1241</v>
      </c>
      <c r="D103" s="5">
        <v>6</v>
      </c>
      <c r="E103" s="41" t="s">
        <v>1689</v>
      </c>
      <c r="F103" s="3" t="s">
        <v>20</v>
      </c>
      <c r="G103" s="3" t="s">
        <v>1472</v>
      </c>
      <c r="H103" s="3" t="s">
        <v>13</v>
      </c>
      <c r="I103" s="54" t="s">
        <v>686</v>
      </c>
      <c r="J103" s="3" t="s">
        <v>10</v>
      </c>
      <c r="K103" s="72">
        <v>1</v>
      </c>
      <c r="L103" s="62"/>
      <c r="M103" s="47">
        <f t="shared" si="1"/>
        <v>0</v>
      </c>
      <c r="N103" s="45"/>
    </row>
    <row r="104" spans="2:14" x14ac:dyDescent="0.3">
      <c r="B104" s="67" t="s">
        <v>2075</v>
      </c>
      <c r="C104" s="5" t="s">
        <v>1241</v>
      </c>
      <c r="D104" s="5">
        <v>6</v>
      </c>
      <c r="E104" s="41" t="s">
        <v>1637</v>
      </c>
      <c r="F104" s="3" t="s">
        <v>20</v>
      </c>
      <c r="G104" s="3" t="s">
        <v>1472</v>
      </c>
      <c r="H104" s="3" t="s">
        <v>13</v>
      </c>
      <c r="I104" s="54" t="s">
        <v>686</v>
      </c>
      <c r="J104" s="3" t="s">
        <v>10</v>
      </c>
      <c r="K104" s="72">
        <v>1</v>
      </c>
      <c r="L104" s="62"/>
      <c r="M104" s="47">
        <f t="shared" si="1"/>
        <v>0</v>
      </c>
      <c r="N104" s="45"/>
    </row>
    <row r="105" spans="2:14" x14ac:dyDescent="0.3">
      <c r="B105" s="67" t="s">
        <v>2110</v>
      </c>
      <c r="C105" s="54" t="s">
        <v>1312</v>
      </c>
      <c r="D105" s="54">
        <v>6</v>
      </c>
      <c r="E105" s="50" t="s">
        <v>1567</v>
      </c>
      <c r="F105" s="3" t="s">
        <v>20</v>
      </c>
      <c r="G105" s="54" t="s">
        <v>1507</v>
      </c>
      <c r="H105" s="54" t="s">
        <v>13</v>
      </c>
      <c r="I105" s="54" t="s">
        <v>686</v>
      </c>
      <c r="J105" s="54" t="s">
        <v>686</v>
      </c>
      <c r="K105" s="73">
        <v>115</v>
      </c>
      <c r="L105" s="65"/>
      <c r="M105" s="47">
        <f t="shared" si="1"/>
        <v>0</v>
      </c>
      <c r="N105" s="45"/>
    </row>
    <row r="106" spans="2:14" x14ac:dyDescent="0.3">
      <c r="B106" s="67" t="s">
        <v>2111</v>
      </c>
      <c r="C106" s="54" t="s">
        <v>1312</v>
      </c>
      <c r="D106" s="54">
        <v>6</v>
      </c>
      <c r="E106" s="50" t="s">
        <v>1568</v>
      </c>
      <c r="F106" s="3" t="s">
        <v>20</v>
      </c>
      <c r="G106" s="54" t="s">
        <v>1508</v>
      </c>
      <c r="H106" s="54" t="s">
        <v>13</v>
      </c>
      <c r="I106" s="54" t="s">
        <v>686</v>
      </c>
      <c r="J106" s="54" t="s">
        <v>686</v>
      </c>
      <c r="K106" s="73">
        <v>80</v>
      </c>
      <c r="L106" s="65"/>
      <c r="M106" s="47">
        <f t="shared" si="1"/>
        <v>0</v>
      </c>
      <c r="N106" s="45"/>
    </row>
    <row r="107" spans="2:14" x14ac:dyDescent="0.3">
      <c r="B107" s="67" t="s">
        <v>2112</v>
      </c>
      <c r="C107" s="54" t="s">
        <v>1312</v>
      </c>
      <c r="D107" s="54">
        <v>6</v>
      </c>
      <c r="E107" s="50" t="s">
        <v>1566</v>
      </c>
      <c r="F107" s="3" t="s">
        <v>20</v>
      </c>
      <c r="G107" s="54" t="s">
        <v>1506</v>
      </c>
      <c r="H107" s="54" t="s">
        <v>13</v>
      </c>
      <c r="I107" s="54" t="s">
        <v>686</v>
      </c>
      <c r="J107" s="54" t="s">
        <v>686</v>
      </c>
      <c r="K107" s="73">
        <v>5</v>
      </c>
      <c r="L107" s="65"/>
      <c r="M107" s="47">
        <f t="shared" si="1"/>
        <v>0</v>
      </c>
      <c r="N107" s="45"/>
    </row>
    <row r="108" spans="2:14" x14ac:dyDescent="0.3">
      <c r="B108" s="67" t="s">
        <v>2113</v>
      </c>
      <c r="C108" s="54" t="s">
        <v>1312</v>
      </c>
      <c r="D108" s="54">
        <v>6</v>
      </c>
      <c r="E108" s="50" t="s">
        <v>1569</v>
      </c>
      <c r="F108" s="3" t="s">
        <v>20</v>
      </c>
      <c r="G108" s="54" t="s">
        <v>1509</v>
      </c>
      <c r="H108" s="54" t="s">
        <v>13</v>
      </c>
      <c r="I108" s="54" t="s">
        <v>686</v>
      </c>
      <c r="J108" s="54" t="s">
        <v>686</v>
      </c>
      <c r="K108" s="73">
        <v>68</v>
      </c>
      <c r="L108" s="65"/>
      <c r="M108" s="47">
        <f t="shared" si="1"/>
        <v>0</v>
      </c>
      <c r="N108" s="45"/>
    </row>
    <row r="109" spans="2:14" x14ac:dyDescent="0.3">
      <c r="B109" s="67" t="s">
        <v>2114</v>
      </c>
      <c r="C109" s="54" t="s">
        <v>1312</v>
      </c>
      <c r="D109" s="54">
        <v>6</v>
      </c>
      <c r="E109" s="50" t="s">
        <v>1728</v>
      </c>
      <c r="F109" s="3" t="s">
        <v>20</v>
      </c>
      <c r="G109" s="54" t="s">
        <v>1510</v>
      </c>
      <c r="H109" s="54" t="s">
        <v>13</v>
      </c>
      <c r="I109" s="54" t="s">
        <v>686</v>
      </c>
      <c r="J109" s="54" t="s">
        <v>686</v>
      </c>
      <c r="K109" s="73">
        <v>4</v>
      </c>
      <c r="L109" s="65"/>
      <c r="M109" s="47">
        <f t="shared" si="1"/>
        <v>0</v>
      </c>
      <c r="N109" s="45"/>
    </row>
    <row r="110" spans="2:14" x14ac:dyDescent="0.3">
      <c r="B110" s="42" t="s">
        <v>590</v>
      </c>
      <c r="C110" s="5" t="s">
        <v>234</v>
      </c>
      <c r="D110" s="5">
        <v>6</v>
      </c>
      <c r="E110" s="41" t="s">
        <v>919</v>
      </c>
      <c r="F110" s="3" t="s">
        <v>20</v>
      </c>
      <c r="G110" s="3" t="s">
        <v>252</v>
      </c>
      <c r="H110" s="9" t="s">
        <v>13</v>
      </c>
      <c r="I110" s="46">
        <v>30000</v>
      </c>
      <c r="J110" s="3" t="s">
        <v>10</v>
      </c>
      <c r="K110" s="72">
        <v>1</v>
      </c>
      <c r="L110" s="62"/>
      <c r="M110" s="47">
        <f t="shared" si="1"/>
        <v>0</v>
      </c>
      <c r="N110" s="45"/>
    </row>
    <row r="111" spans="2:14" x14ac:dyDescent="0.3">
      <c r="B111" s="42" t="s">
        <v>641</v>
      </c>
      <c r="C111" s="5" t="s">
        <v>234</v>
      </c>
      <c r="D111" s="5">
        <v>6</v>
      </c>
      <c r="E111" s="41" t="s">
        <v>970</v>
      </c>
      <c r="F111" s="3" t="s">
        <v>20</v>
      </c>
      <c r="G111" s="3" t="s">
        <v>249</v>
      </c>
      <c r="H111" s="9" t="s">
        <v>13</v>
      </c>
      <c r="I111" s="9">
        <v>450</v>
      </c>
      <c r="J111" s="3" t="s">
        <v>10</v>
      </c>
      <c r="K111" s="72">
        <v>1</v>
      </c>
      <c r="L111" s="62"/>
      <c r="M111" s="47">
        <f t="shared" si="1"/>
        <v>0</v>
      </c>
      <c r="N111" s="45"/>
    </row>
    <row r="112" spans="2:14" x14ac:dyDescent="0.3">
      <c r="B112" s="42" t="s">
        <v>638</v>
      </c>
      <c r="C112" s="5" t="s">
        <v>234</v>
      </c>
      <c r="D112" s="5">
        <v>6</v>
      </c>
      <c r="E112" s="41" t="s">
        <v>967</v>
      </c>
      <c r="F112" s="3" t="s">
        <v>20</v>
      </c>
      <c r="G112" s="3" t="s">
        <v>250</v>
      </c>
      <c r="H112" s="9" t="s">
        <v>13</v>
      </c>
      <c r="I112" s="9">
        <v>450</v>
      </c>
      <c r="J112" s="3" t="s">
        <v>10</v>
      </c>
      <c r="K112" s="72">
        <v>2</v>
      </c>
      <c r="L112" s="62"/>
      <c r="M112" s="47">
        <f t="shared" si="1"/>
        <v>0</v>
      </c>
      <c r="N112" s="45"/>
    </row>
    <row r="113" spans="2:14" x14ac:dyDescent="0.3">
      <c r="B113" s="42" t="s">
        <v>640</v>
      </c>
      <c r="C113" s="5" t="s">
        <v>234</v>
      </c>
      <c r="D113" s="5">
        <v>6</v>
      </c>
      <c r="E113" s="41" t="s">
        <v>969</v>
      </c>
      <c r="F113" s="3" t="s">
        <v>20</v>
      </c>
      <c r="G113" s="3" t="s">
        <v>250</v>
      </c>
      <c r="H113" s="9" t="s">
        <v>13</v>
      </c>
      <c r="I113" s="9">
        <v>500</v>
      </c>
      <c r="J113" s="3" t="s">
        <v>10</v>
      </c>
      <c r="K113" s="72">
        <v>2</v>
      </c>
      <c r="L113" s="62"/>
      <c r="M113" s="47">
        <f t="shared" si="1"/>
        <v>0</v>
      </c>
      <c r="N113" s="45"/>
    </row>
    <row r="114" spans="2:14" x14ac:dyDescent="0.3">
      <c r="B114" s="42" t="s">
        <v>639</v>
      </c>
      <c r="C114" s="5" t="s">
        <v>234</v>
      </c>
      <c r="D114" s="5">
        <v>6</v>
      </c>
      <c r="E114" s="41" t="s">
        <v>968</v>
      </c>
      <c r="F114" s="3" t="s">
        <v>20</v>
      </c>
      <c r="G114" s="3" t="s">
        <v>250</v>
      </c>
      <c r="H114" s="9" t="s">
        <v>13</v>
      </c>
      <c r="I114" s="9">
        <v>450</v>
      </c>
      <c r="J114" s="3" t="s">
        <v>10</v>
      </c>
      <c r="K114" s="72">
        <v>2</v>
      </c>
      <c r="L114" s="62"/>
      <c r="M114" s="47">
        <f t="shared" si="1"/>
        <v>0</v>
      </c>
      <c r="N114" s="45"/>
    </row>
    <row r="115" spans="2:14" x14ac:dyDescent="0.3">
      <c r="B115" s="42" t="s">
        <v>634</v>
      </c>
      <c r="C115" s="5" t="s">
        <v>234</v>
      </c>
      <c r="D115" s="5">
        <v>6</v>
      </c>
      <c r="E115" s="41" t="s">
        <v>963</v>
      </c>
      <c r="F115" s="3" t="s">
        <v>20</v>
      </c>
      <c r="G115" s="3" t="s">
        <v>248</v>
      </c>
      <c r="H115" s="9" t="s">
        <v>13</v>
      </c>
      <c r="I115" s="9">
        <v>450</v>
      </c>
      <c r="J115" s="3" t="s">
        <v>10</v>
      </c>
      <c r="K115" s="72">
        <v>3</v>
      </c>
      <c r="L115" s="62"/>
      <c r="M115" s="47">
        <f t="shared" si="1"/>
        <v>0</v>
      </c>
      <c r="N115" s="45"/>
    </row>
    <row r="116" spans="2:14" x14ac:dyDescent="0.3">
      <c r="B116" s="42" t="s">
        <v>635</v>
      </c>
      <c r="C116" s="5" t="s">
        <v>234</v>
      </c>
      <c r="D116" s="5">
        <v>6</v>
      </c>
      <c r="E116" s="41" t="s">
        <v>964</v>
      </c>
      <c r="F116" s="3" t="s">
        <v>20</v>
      </c>
      <c r="G116" s="3" t="s">
        <v>248</v>
      </c>
      <c r="H116" s="9" t="s">
        <v>13</v>
      </c>
      <c r="I116" s="9">
        <v>450</v>
      </c>
      <c r="J116" s="3" t="s">
        <v>10</v>
      </c>
      <c r="K116" s="72">
        <v>3</v>
      </c>
      <c r="L116" s="62"/>
      <c r="M116" s="47">
        <f t="shared" si="1"/>
        <v>0</v>
      </c>
      <c r="N116" s="45"/>
    </row>
    <row r="117" spans="2:14" x14ac:dyDescent="0.3">
      <c r="B117" s="42" t="s">
        <v>637</v>
      </c>
      <c r="C117" s="5" t="s">
        <v>234</v>
      </c>
      <c r="D117" s="5">
        <v>6</v>
      </c>
      <c r="E117" s="41" t="s">
        <v>966</v>
      </c>
      <c r="F117" s="3" t="s">
        <v>20</v>
      </c>
      <c r="G117" s="3" t="s">
        <v>248</v>
      </c>
      <c r="H117" s="9" t="s">
        <v>13</v>
      </c>
      <c r="I117" s="9">
        <v>450</v>
      </c>
      <c r="J117" s="3" t="s">
        <v>10</v>
      </c>
      <c r="K117" s="72">
        <v>2</v>
      </c>
      <c r="L117" s="62"/>
      <c r="M117" s="47">
        <f t="shared" si="1"/>
        <v>0</v>
      </c>
      <c r="N117" s="45"/>
    </row>
    <row r="118" spans="2:14" x14ac:dyDescent="0.3">
      <c r="B118" s="42" t="s">
        <v>636</v>
      </c>
      <c r="C118" s="5" t="s">
        <v>234</v>
      </c>
      <c r="D118" s="5">
        <v>6</v>
      </c>
      <c r="E118" s="41" t="s">
        <v>965</v>
      </c>
      <c r="F118" s="3" t="s">
        <v>20</v>
      </c>
      <c r="G118" s="3" t="s">
        <v>248</v>
      </c>
      <c r="H118" s="9" t="s">
        <v>13</v>
      </c>
      <c r="I118" s="9">
        <v>450</v>
      </c>
      <c r="J118" s="3" t="s">
        <v>10</v>
      </c>
      <c r="K118" s="72">
        <v>2</v>
      </c>
      <c r="L118" s="62"/>
      <c r="M118" s="47">
        <f t="shared" si="1"/>
        <v>0</v>
      </c>
      <c r="N118" s="45"/>
    </row>
    <row r="119" spans="2:14" x14ac:dyDescent="0.3">
      <c r="B119" s="42" t="s">
        <v>632</v>
      </c>
      <c r="C119" s="5" t="s">
        <v>234</v>
      </c>
      <c r="D119" s="5">
        <v>6</v>
      </c>
      <c r="E119" s="41" t="s">
        <v>961</v>
      </c>
      <c r="F119" s="3" t="s">
        <v>20</v>
      </c>
      <c r="G119" s="3" t="s">
        <v>251</v>
      </c>
      <c r="H119" s="9" t="s">
        <v>13</v>
      </c>
      <c r="I119" s="9">
        <v>400</v>
      </c>
      <c r="J119" s="3" t="s">
        <v>10</v>
      </c>
      <c r="K119" s="72">
        <v>4</v>
      </c>
      <c r="L119" s="62"/>
      <c r="M119" s="47">
        <f t="shared" si="1"/>
        <v>0</v>
      </c>
      <c r="N119" s="45"/>
    </row>
    <row r="120" spans="2:14" x14ac:dyDescent="0.3">
      <c r="B120" s="42" t="s">
        <v>591</v>
      </c>
      <c r="C120" s="5" t="s">
        <v>234</v>
      </c>
      <c r="D120" s="5">
        <v>6</v>
      </c>
      <c r="E120" s="41" t="s">
        <v>920</v>
      </c>
      <c r="F120" s="3" t="s">
        <v>20</v>
      </c>
      <c r="G120" s="3" t="s">
        <v>251</v>
      </c>
      <c r="H120" s="9" t="s">
        <v>13</v>
      </c>
      <c r="I120" s="9">
        <v>400</v>
      </c>
      <c r="J120" s="3" t="s">
        <v>10</v>
      </c>
      <c r="K120" s="72">
        <v>4</v>
      </c>
      <c r="L120" s="62"/>
      <c r="M120" s="47">
        <f t="shared" si="1"/>
        <v>0</v>
      </c>
      <c r="N120" s="45"/>
    </row>
    <row r="121" spans="2:14" x14ac:dyDescent="0.3">
      <c r="B121" s="42" t="s">
        <v>592</v>
      </c>
      <c r="C121" s="5" t="s">
        <v>234</v>
      </c>
      <c r="D121" s="5">
        <v>6</v>
      </c>
      <c r="E121" s="41" t="s">
        <v>921</v>
      </c>
      <c r="F121" s="3" t="s">
        <v>20</v>
      </c>
      <c r="G121" s="3" t="s">
        <v>251</v>
      </c>
      <c r="H121" s="9" t="s">
        <v>13</v>
      </c>
      <c r="I121" s="9">
        <v>400</v>
      </c>
      <c r="J121" s="3" t="s">
        <v>10</v>
      </c>
      <c r="K121" s="72">
        <v>4</v>
      </c>
      <c r="L121" s="62"/>
      <c r="M121" s="47">
        <f t="shared" si="1"/>
        <v>0</v>
      </c>
      <c r="N121" s="45"/>
    </row>
    <row r="122" spans="2:14" x14ac:dyDescent="0.3">
      <c r="B122" s="42" t="s">
        <v>593</v>
      </c>
      <c r="C122" s="5" t="s">
        <v>234</v>
      </c>
      <c r="D122" s="5">
        <v>6</v>
      </c>
      <c r="E122" s="41" t="s">
        <v>922</v>
      </c>
      <c r="F122" s="3" t="s">
        <v>20</v>
      </c>
      <c r="G122" s="3" t="s">
        <v>251</v>
      </c>
      <c r="H122" s="9" t="s">
        <v>13</v>
      </c>
      <c r="I122" s="9">
        <v>400</v>
      </c>
      <c r="J122" s="3" t="s">
        <v>10</v>
      </c>
      <c r="K122" s="72">
        <v>4</v>
      </c>
      <c r="L122" s="62"/>
      <c r="M122" s="47">
        <f t="shared" si="1"/>
        <v>0</v>
      </c>
      <c r="N122" s="45"/>
    </row>
    <row r="123" spans="2:14" x14ac:dyDescent="0.3">
      <c r="B123" s="42" t="s">
        <v>633</v>
      </c>
      <c r="C123" s="5" t="s">
        <v>234</v>
      </c>
      <c r="D123" s="5">
        <v>6</v>
      </c>
      <c r="E123" s="41" t="s">
        <v>962</v>
      </c>
      <c r="F123" s="3" t="s">
        <v>20</v>
      </c>
      <c r="G123" s="3" t="s">
        <v>251</v>
      </c>
      <c r="H123" s="9" t="s">
        <v>13</v>
      </c>
      <c r="I123" s="9">
        <v>400</v>
      </c>
      <c r="J123" s="3" t="s">
        <v>10</v>
      </c>
      <c r="K123" s="72">
        <v>4</v>
      </c>
      <c r="L123" s="62"/>
      <c r="M123" s="47">
        <f t="shared" si="1"/>
        <v>0</v>
      </c>
      <c r="N123" s="45"/>
    </row>
    <row r="124" spans="2:14" x14ac:dyDescent="0.3">
      <c r="B124" s="42" t="s">
        <v>631</v>
      </c>
      <c r="C124" s="5" t="s">
        <v>234</v>
      </c>
      <c r="D124" s="5">
        <v>6</v>
      </c>
      <c r="E124" s="41" t="s">
        <v>960</v>
      </c>
      <c r="F124" s="3" t="s">
        <v>20</v>
      </c>
      <c r="G124" s="3" t="s">
        <v>251</v>
      </c>
      <c r="H124" s="9" t="s">
        <v>13</v>
      </c>
      <c r="I124" s="9">
        <v>400</v>
      </c>
      <c r="J124" s="3" t="s">
        <v>10</v>
      </c>
      <c r="K124" s="72">
        <v>4</v>
      </c>
      <c r="L124" s="62"/>
      <c r="M124" s="47">
        <f t="shared" si="1"/>
        <v>0</v>
      </c>
      <c r="N124" s="45"/>
    </row>
    <row r="125" spans="2:14" x14ac:dyDescent="0.3">
      <c r="B125" s="42" t="s">
        <v>677</v>
      </c>
      <c r="C125" s="5" t="s">
        <v>1280</v>
      </c>
      <c r="D125" s="5">
        <v>6</v>
      </c>
      <c r="E125" s="41" t="s">
        <v>1006</v>
      </c>
      <c r="F125" s="3" t="s">
        <v>20</v>
      </c>
      <c r="G125" s="3" t="s">
        <v>311</v>
      </c>
      <c r="H125" s="9" t="s">
        <v>13</v>
      </c>
      <c r="I125" s="9"/>
      <c r="J125" s="3" t="s">
        <v>11</v>
      </c>
      <c r="K125" s="72">
        <v>170</v>
      </c>
      <c r="L125" s="62"/>
      <c r="M125" s="47">
        <f t="shared" si="1"/>
        <v>0</v>
      </c>
      <c r="N125" s="45"/>
    </row>
    <row r="126" spans="2:14" x14ac:dyDescent="0.3">
      <c r="B126" s="42" t="s">
        <v>694</v>
      </c>
      <c r="C126" s="5" t="s">
        <v>1280</v>
      </c>
      <c r="D126" s="5">
        <v>6</v>
      </c>
      <c r="E126" s="41" t="s">
        <v>1012</v>
      </c>
      <c r="F126" s="3" t="s">
        <v>20</v>
      </c>
      <c r="G126" s="3" t="s">
        <v>310</v>
      </c>
      <c r="H126" s="9" t="s">
        <v>13</v>
      </c>
      <c r="I126" s="9"/>
      <c r="J126" s="3" t="s">
        <v>11</v>
      </c>
      <c r="K126" s="72">
        <v>4</v>
      </c>
      <c r="L126" s="62"/>
      <c r="M126" s="47">
        <f t="shared" si="1"/>
        <v>0</v>
      </c>
      <c r="N126" s="45"/>
    </row>
    <row r="127" spans="2:14" x14ac:dyDescent="0.3">
      <c r="B127" s="42" t="s">
        <v>703</v>
      </c>
      <c r="C127" s="5" t="s">
        <v>1280</v>
      </c>
      <c r="D127" s="5">
        <v>6</v>
      </c>
      <c r="E127" s="41" t="s">
        <v>1021</v>
      </c>
      <c r="F127" s="3" t="s">
        <v>20</v>
      </c>
      <c r="G127" s="3" t="s">
        <v>308</v>
      </c>
      <c r="H127" s="9" t="s">
        <v>13</v>
      </c>
      <c r="I127" s="9" t="s">
        <v>309</v>
      </c>
      <c r="J127" s="3" t="s">
        <v>11</v>
      </c>
      <c r="K127" s="72">
        <v>6</v>
      </c>
      <c r="L127" s="62"/>
      <c r="M127" s="47">
        <f t="shared" si="1"/>
        <v>0</v>
      </c>
      <c r="N127" s="45"/>
    </row>
    <row r="128" spans="2:14" x14ac:dyDescent="0.3">
      <c r="B128" s="42" t="s">
        <v>704</v>
      </c>
      <c r="C128" s="5" t="s">
        <v>1280</v>
      </c>
      <c r="D128" s="5">
        <v>6</v>
      </c>
      <c r="E128" s="41" t="s">
        <v>1022</v>
      </c>
      <c r="F128" s="3" t="s">
        <v>20</v>
      </c>
      <c r="G128" s="3" t="s">
        <v>308</v>
      </c>
      <c r="H128" s="9" t="s">
        <v>13</v>
      </c>
      <c r="I128" s="9" t="s">
        <v>309</v>
      </c>
      <c r="J128" s="3" t="s">
        <v>11</v>
      </c>
      <c r="K128" s="72">
        <v>6</v>
      </c>
      <c r="L128" s="62"/>
      <c r="M128" s="47">
        <f t="shared" si="1"/>
        <v>0</v>
      </c>
      <c r="N128" s="45"/>
    </row>
    <row r="129" spans="2:14" x14ac:dyDescent="0.3">
      <c r="B129" s="42" t="s">
        <v>705</v>
      </c>
      <c r="C129" s="5" t="s">
        <v>1280</v>
      </c>
      <c r="D129" s="5">
        <v>6</v>
      </c>
      <c r="E129" s="41" t="s">
        <v>1023</v>
      </c>
      <c r="F129" s="3" t="s">
        <v>20</v>
      </c>
      <c r="G129" s="3" t="s">
        <v>308</v>
      </c>
      <c r="H129" s="9" t="s">
        <v>13</v>
      </c>
      <c r="I129" s="9" t="s">
        <v>309</v>
      </c>
      <c r="J129" s="3" t="s">
        <v>11</v>
      </c>
      <c r="K129" s="72">
        <v>8</v>
      </c>
      <c r="L129" s="62"/>
      <c r="M129" s="47">
        <f t="shared" si="1"/>
        <v>0</v>
      </c>
      <c r="N129" s="45"/>
    </row>
    <row r="130" spans="2:14" x14ac:dyDescent="0.3">
      <c r="B130" s="42" t="s">
        <v>706</v>
      </c>
      <c r="C130" s="5" t="s">
        <v>1280</v>
      </c>
      <c r="D130" s="5">
        <v>6</v>
      </c>
      <c r="E130" s="41" t="s">
        <v>1024</v>
      </c>
      <c r="F130" s="3" t="s">
        <v>20</v>
      </c>
      <c r="G130" s="3" t="s">
        <v>308</v>
      </c>
      <c r="H130" s="9" t="s">
        <v>13</v>
      </c>
      <c r="I130" s="9" t="s">
        <v>309</v>
      </c>
      <c r="J130" s="3" t="s">
        <v>11</v>
      </c>
      <c r="K130" s="72">
        <v>7</v>
      </c>
      <c r="L130" s="62"/>
      <c r="M130" s="47">
        <f t="shared" si="1"/>
        <v>0</v>
      </c>
      <c r="N130" s="45"/>
    </row>
    <row r="131" spans="2:14" x14ac:dyDescent="0.3">
      <c r="B131" s="42" t="s">
        <v>708</v>
      </c>
      <c r="C131" s="5" t="s">
        <v>1280</v>
      </c>
      <c r="D131" s="5">
        <v>6</v>
      </c>
      <c r="E131" s="41" t="s">
        <v>1026</v>
      </c>
      <c r="F131" s="3" t="s">
        <v>20</v>
      </c>
      <c r="G131" s="3" t="s">
        <v>308</v>
      </c>
      <c r="H131" s="9" t="s">
        <v>13</v>
      </c>
      <c r="I131" s="9" t="s">
        <v>1337</v>
      </c>
      <c r="J131" s="3" t="s">
        <v>11</v>
      </c>
      <c r="K131" s="72">
        <v>6</v>
      </c>
      <c r="L131" s="62"/>
      <c r="M131" s="47">
        <f t="shared" si="1"/>
        <v>0</v>
      </c>
      <c r="N131" s="45"/>
    </row>
    <row r="132" spans="2:14" x14ac:dyDescent="0.3">
      <c r="B132" s="42" t="s">
        <v>707</v>
      </c>
      <c r="C132" s="5" t="s">
        <v>1280</v>
      </c>
      <c r="D132" s="5">
        <v>6</v>
      </c>
      <c r="E132" s="41" t="s">
        <v>1025</v>
      </c>
      <c r="F132" s="3" t="s">
        <v>20</v>
      </c>
      <c r="G132" s="3" t="s">
        <v>308</v>
      </c>
      <c r="H132" s="9" t="s">
        <v>13</v>
      </c>
      <c r="I132" s="9" t="s">
        <v>309</v>
      </c>
      <c r="J132" s="3" t="s">
        <v>11</v>
      </c>
      <c r="K132" s="72">
        <v>6</v>
      </c>
      <c r="L132" s="62"/>
      <c r="M132" s="47">
        <f t="shared" si="1"/>
        <v>0</v>
      </c>
      <c r="N132" s="45"/>
    </row>
    <row r="133" spans="2:14" x14ac:dyDescent="0.3">
      <c r="B133" s="42" t="s">
        <v>568</v>
      </c>
      <c r="C133" s="5" t="s">
        <v>1223</v>
      </c>
      <c r="D133" s="5">
        <v>6</v>
      </c>
      <c r="E133" s="41" t="s">
        <v>897</v>
      </c>
      <c r="F133" s="3" t="s">
        <v>20</v>
      </c>
      <c r="G133" s="3" t="s">
        <v>714</v>
      </c>
      <c r="H133" s="9" t="s">
        <v>13</v>
      </c>
      <c r="I133" s="3"/>
      <c r="J133" s="3" t="s">
        <v>11</v>
      </c>
      <c r="K133" s="72">
        <v>5</v>
      </c>
      <c r="L133" s="62"/>
      <c r="M133" s="47">
        <f t="shared" ref="M133:M195" si="2">+K133*L133</f>
        <v>0</v>
      </c>
      <c r="N133" s="45"/>
    </row>
    <row r="134" spans="2:14" x14ac:dyDescent="0.3">
      <c r="B134" s="42" t="s">
        <v>569</v>
      </c>
      <c r="C134" s="5" t="s">
        <v>1223</v>
      </c>
      <c r="D134" s="5">
        <v>6</v>
      </c>
      <c r="E134" s="41" t="s">
        <v>898</v>
      </c>
      <c r="F134" s="3" t="s">
        <v>20</v>
      </c>
      <c r="G134" s="3" t="s">
        <v>714</v>
      </c>
      <c r="H134" s="9" t="s">
        <v>13</v>
      </c>
      <c r="I134" s="3"/>
      <c r="J134" s="3" t="s">
        <v>11</v>
      </c>
      <c r="K134" s="72">
        <v>5</v>
      </c>
      <c r="L134" s="62"/>
      <c r="M134" s="47">
        <f t="shared" si="2"/>
        <v>0</v>
      </c>
      <c r="N134" s="45"/>
    </row>
    <row r="135" spans="2:14" x14ac:dyDescent="0.3">
      <c r="B135" s="42" t="s">
        <v>570</v>
      </c>
      <c r="C135" s="5" t="s">
        <v>1223</v>
      </c>
      <c r="D135" s="5">
        <v>6</v>
      </c>
      <c r="E135" s="41" t="s">
        <v>899</v>
      </c>
      <c r="F135" s="3" t="s">
        <v>20</v>
      </c>
      <c r="G135" s="3" t="s">
        <v>714</v>
      </c>
      <c r="H135" s="9" t="s">
        <v>13</v>
      </c>
      <c r="I135" s="3"/>
      <c r="J135" s="3" t="s">
        <v>11</v>
      </c>
      <c r="K135" s="72">
        <v>1</v>
      </c>
      <c r="L135" s="62"/>
      <c r="M135" s="47">
        <f t="shared" si="2"/>
        <v>0</v>
      </c>
      <c r="N135" s="45"/>
    </row>
    <row r="136" spans="2:14" x14ac:dyDescent="0.3">
      <c r="B136" s="42" t="s">
        <v>571</v>
      </c>
      <c r="C136" s="5" t="s">
        <v>1223</v>
      </c>
      <c r="D136" s="5">
        <v>6</v>
      </c>
      <c r="E136" s="41" t="s">
        <v>900</v>
      </c>
      <c r="F136" s="3" t="s">
        <v>20</v>
      </c>
      <c r="G136" s="3" t="s">
        <v>719</v>
      </c>
      <c r="H136" s="9" t="s">
        <v>13</v>
      </c>
      <c r="I136" s="3"/>
      <c r="J136" s="3" t="s">
        <v>11</v>
      </c>
      <c r="K136" s="72">
        <v>1</v>
      </c>
      <c r="L136" s="62"/>
      <c r="M136" s="47">
        <f t="shared" si="2"/>
        <v>0</v>
      </c>
      <c r="N136" s="45"/>
    </row>
    <row r="137" spans="2:14" x14ac:dyDescent="0.3">
      <c r="B137" s="42" t="s">
        <v>567</v>
      </c>
      <c r="C137" s="5" t="s">
        <v>1223</v>
      </c>
      <c r="D137" s="5">
        <v>6</v>
      </c>
      <c r="E137" s="41" t="s">
        <v>896</v>
      </c>
      <c r="F137" s="3" t="s">
        <v>20</v>
      </c>
      <c r="G137" s="3" t="s">
        <v>1370</v>
      </c>
      <c r="H137" s="9" t="s">
        <v>13</v>
      </c>
      <c r="I137" s="3"/>
      <c r="J137" s="3" t="s">
        <v>11</v>
      </c>
      <c r="K137" s="72">
        <v>30</v>
      </c>
      <c r="L137" s="62"/>
      <c r="M137" s="47">
        <f t="shared" si="2"/>
        <v>0</v>
      </c>
      <c r="N137" s="45"/>
    </row>
    <row r="138" spans="2:14" x14ac:dyDescent="0.3">
      <c r="B138" s="42" t="s">
        <v>1054</v>
      </c>
      <c r="C138" s="5" t="s">
        <v>1223</v>
      </c>
      <c r="D138" s="5">
        <v>6</v>
      </c>
      <c r="E138" s="41" t="s">
        <v>1061</v>
      </c>
      <c r="F138" s="3" t="s">
        <v>20</v>
      </c>
      <c r="G138" s="3" t="s">
        <v>1062</v>
      </c>
      <c r="H138" s="9" t="s">
        <v>13</v>
      </c>
      <c r="I138" s="3"/>
      <c r="J138" s="3" t="s">
        <v>11</v>
      </c>
      <c r="K138" s="72">
        <v>2</v>
      </c>
      <c r="L138" s="62"/>
      <c r="M138" s="47">
        <f t="shared" si="2"/>
        <v>0</v>
      </c>
      <c r="N138" s="45"/>
    </row>
    <row r="139" spans="2:14" x14ac:dyDescent="0.3">
      <c r="B139" s="42" t="s">
        <v>1111</v>
      </c>
      <c r="C139" s="5" t="s">
        <v>1146</v>
      </c>
      <c r="D139" s="5">
        <v>6</v>
      </c>
      <c r="E139" s="41" t="s">
        <v>1149</v>
      </c>
      <c r="F139" s="3" t="s">
        <v>20</v>
      </c>
      <c r="G139" s="3" t="s">
        <v>1150</v>
      </c>
      <c r="H139" s="9" t="s">
        <v>13</v>
      </c>
      <c r="I139" s="9"/>
      <c r="J139" s="3"/>
      <c r="K139" s="72">
        <v>60</v>
      </c>
      <c r="L139" s="62"/>
      <c r="M139" s="47">
        <f t="shared" si="2"/>
        <v>0</v>
      </c>
      <c r="N139" s="45"/>
    </row>
    <row r="140" spans="2:14" x14ac:dyDescent="0.3">
      <c r="B140" s="42" t="s">
        <v>1110</v>
      </c>
      <c r="C140" s="5" t="s">
        <v>1146</v>
      </c>
      <c r="D140" s="5">
        <v>6</v>
      </c>
      <c r="E140" s="41" t="s">
        <v>1147</v>
      </c>
      <c r="F140" s="3" t="s">
        <v>20</v>
      </c>
      <c r="G140" s="3" t="s">
        <v>1148</v>
      </c>
      <c r="H140" s="9" t="s">
        <v>13</v>
      </c>
      <c r="I140" s="9"/>
      <c r="J140" s="3"/>
      <c r="K140" s="72">
        <v>30</v>
      </c>
      <c r="L140" s="62"/>
      <c r="M140" s="47">
        <f t="shared" si="2"/>
        <v>0</v>
      </c>
      <c r="N140" s="45"/>
    </row>
    <row r="141" spans="2:14" x14ac:dyDescent="0.3">
      <c r="B141" s="42" t="s">
        <v>1039</v>
      </c>
      <c r="C141" s="5" t="s">
        <v>1033</v>
      </c>
      <c r="D141" s="5">
        <v>6</v>
      </c>
      <c r="E141" s="48" t="s">
        <v>804</v>
      </c>
      <c r="F141" s="3" t="s">
        <v>20</v>
      </c>
      <c r="G141" s="9" t="s">
        <v>42</v>
      </c>
      <c r="H141" s="9" t="s">
        <v>13</v>
      </c>
      <c r="I141" s="9" t="s">
        <v>10</v>
      </c>
      <c r="J141" s="9" t="s">
        <v>10</v>
      </c>
      <c r="K141" s="72">
        <v>3</v>
      </c>
      <c r="L141" s="62"/>
      <c r="M141" s="47">
        <f t="shared" si="2"/>
        <v>0</v>
      </c>
      <c r="N141" s="56"/>
    </row>
    <row r="142" spans="2:14" x14ac:dyDescent="0.3">
      <c r="B142" s="42" t="s">
        <v>1040</v>
      </c>
      <c r="C142" s="5" t="s">
        <v>1033</v>
      </c>
      <c r="D142" s="5">
        <v>6</v>
      </c>
      <c r="E142" s="48" t="s">
        <v>805</v>
      </c>
      <c r="F142" s="3" t="s">
        <v>20</v>
      </c>
      <c r="G142" s="9" t="s">
        <v>42</v>
      </c>
      <c r="H142" s="9" t="s">
        <v>13</v>
      </c>
      <c r="I142" s="9" t="s">
        <v>10</v>
      </c>
      <c r="J142" s="9" t="s">
        <v>10</v>
      </c>
      <c r="K142" s="72">
        <v>3</v>
      </c>
      <c r="L142" s="62"/>
      <c r="M142" s="47">
        <f t="shared" si="2"/>
        <v>0</v>
      </c>
      <c r="N142" s="56"/>
    </row>
    <row r="143" spans="2:14" x14ac:dyDescent="0.3">
      <c r="B143" s="42" t="s">
        <v>1041</v>
      </c>
      <c r="C143" s="5" t="s">
        <v>1033</v>
      </c>
      <c r="D143" s="5">
        <v>6</v>
      </c>
      <c r="E143" s="48" t="s">
        <v>806</v>
      </c>
      <c r="F143" s="3" t="s">
        <v>20</v>
      </c>
      <c r="G143" s="9" t="s">
        <v>42</v>
      </c>
      <c r="H143" s="9" t="s">
        <v>13</v>
      </c>
      <c r="I143" s="9" t="s">
        <v>10</v>
      </c>
      <c r="J143" s="9" t="s">
        <v>10</v>
      </c>
      <c r="K143" s="72">
        <v>3</v>
      </c>
      <c r="L143" s="62"/>
      <c r="M143" s="47">
        <f t="shared" si="2"/>
        <v>0</v>
      </c>
      <c r="N143" s="56"/>
    </row>
    <row r="144" spans="2:14" x14ac:dyDescent="0.3">
      <c r="B144" s="42" t="s">
        <v>1042</v>
      </c>
      <c r="C144" s="5" t="s">
        <v>1033</v>
      </c>
      <c r="D144" s="5">
        <v>6</v>
      </c>
      <c r="E144" s="48" t="s">
        <v>807</v>
      </c>
      <c r="F144" s="3" t="s">
        <v>20</v>
      </c>
      <c r="G144" s="9" t="s">
        <v>42</v>
      </c>
      <c r="H144" s="9" t="s">
        <v>13</v>
      </c>
      <c r="I144" s="9" t="s">
        <v>10</v>
      </c>
      <c r="J144" s="9" t="s">
        <v>10</v>
      </c>
      <c r="K144" s="72">
        <v>3</v>
      </c>
      <c r="L144" s="62"/>
      <c r="M144" s="47">
        <f t="shared" si="2"/>
        <v>0</v>
      </c>
      <c r="N144" s="56"/>
    </row>
    <row r="145" spans="2:14" x14ac:dyDescent="0.3">
      <c r="B145" s="42" t="s">
        <v>1043</v>
      </c>
      <c r="C145" s="5" t="s">
        <v>1033</v>
      </c>
      <c r="D145" s="5">
        <v>6</v>
      </c>
      <c r="E145" s="48" t="s">
        <v>808</v>
      </c>
      <c r="F145" s="3" t="s">
        <v>20</v>
      </c>
      <c r="G145" s="9" t="s">
        <v>42</v>
      </c>
      <c r="H145" s="9" t="s">
        <v>13</v>
      </c>
      <c r="I145" s="9" t="s">
        <v>10</v>
      </c>
      <c r="J145" s="9" t="s">
        <v>10</v>
      </c>
      <c r="K145" s="72">
        <v>3</v>
      </c>
      <c r="L145" s="62"/>
      <c r="M145" s="47">
        <f t="shared" si="2"/>
        <v>0</v>
      </c>
      <c r="N145" s="56"/>
    </row>
    <row r="146" spans="2:14" x14ac:dyDescent="0.3">
      <c r="B146" s="42" t="s">
        <v>1044</v>
      </c>
      <c r="C146" s="5" t="s">
        <v>1033</v>
      </c>
      <c r="D146" s="5">
        <v>6</v>
      </c>
      <c r="E146" s="48" t="s">
        <v>809</v>
      </c>
      <c r="F146" s="3" t="s">
        <v>20</v>
      </c>
      <c r="G146" s="9" t="s">
        <v>42</v>
      </c>
      <c r="H146" s="9" t="s">
        <v>13</v>
      </c>
      <c r="I146" s="9" t="s">
        <v>10</v>
      </c>
      <c r="J146" s="9" t="s">
        <v>10</v>
      </c>
      <c r="K146" s="72">
        <v>3</v>
      </c>
      <c r="L146" s="62"/>
      <c r="M146" s="47">
        <f t="shared" si="2"/>
        <v>0</v>
      </c>
      <c r="N146" s="56"/>
    </row>
    <row r="147" spans="2:14" x14ac:dyDescent="0.3">
      <c r="B147" s="42" t="s">
        <v>673</v>
      </c>
      <c r="C147" s="5" t="s">
        <v>285</v>
      </c>
      <c r="D147" s="5">
        <v>6</v>
      </c>
      <c r="E147" s="41" t="s">
        <v>1002</v>
      </c>
      <c r="F147" s="3" t="s">
        <v>20</v>
      </c>
      <c r="G147" s="3" t="s">
        <v>296</v>
      </c>
      <c r="H147" s="9" t="s">
        <v>13</v>
      </c>
      <c r="I147" s="9" t="s">
        <v>309</v>
      </c>
      <c r="J147" s="3" t="s">
        <v>10</v>
      </c>
      <c r="K147" s="72">
        <v>2</v>
      </c>
      <c r="L147" s="62"/>
      <c r="M147" s="47">
        <f t="shared" si="2"/>
        <v>0</v>
      </c>
      <c r="N147" s="45"/>
    </row>
    <row r="148" spans="2:14" x14ac:dyDescent="0.3">
      <c r="B148" s="42" t="s">
        <v>667</v>
      </c>
      <c r="C148" s="5" t="s">
        <v>285</v>
      </c>
      <c r="D148" s="5">
        <v>6</v>
      </c>
      <c r="E148" s="41" t="s">
        <v>996</v>
      </c>
      <c r="F148" s="3" t="s">
        <v>20</v>
      </c>
      <c r="G148" s="3" t="s">
        <v>291</v>
      </c>
      <c r="H148" s="9" t="s">
        <v>13</v>
      </c>
      <c r="I148" s="9" t="s">
        <v>309</v>
      </c>
      <c r="J148" s="3" t="s">
        <v>10</v>
      </c>
      <c r="K148" s="72">
        <v>3</v>
      </c>
      <c r="L148" s="62"/>
      <c r="M148" s="47">
        <f t="shared" si="2"/>
        <v>0</v>
      </c>
      <c r="N148" s="45"/>
    </row>
    <row r="149" spans="2:14" x14ac:dyDescent="0.3">
      <c r="B149" s="42" t="s">
        <v>668</v>
      </c>
      <c r="C149" s="5" t="s">
        <v>285</v>
      </c>
      <c r="D149" s="5">
        <v>6</v>
      </c>
      <c r="E149" s="41" t="s">
        <v>997</v>
      </c>
      <c r="F149" s="3" t="s">
        <v>20</v>
      </c>
      <c r="G149" s="3" t="s">
        <v>293</v>
      </c>
      <c r="H149" s="9" t="s">
        <v>13</v>
      </c>
      <c r="I149" s="9" t="s">
        <v>309</v>
      </c>
      <c r="J149" s="3" t="s">
        <v>10</v>
      </c>
      <c r="K149" s="72">
        <v>4</v>
      </c>
      <c r="L149" s="62"/>
      <c r="M149" s="47">
        <f t="shared" si="2"/>
        <v>0</v>
      </c>
      <c r="N149" s="45"/>
    </row>
    <row r="150" spans="2:14" x14ac:dyDescent="0.3">
      <c r="B150" s="42" t="s">
        <v>672</v>
      </c>
      <c r="C150" s="5" t="s">
        <v>285</v>
      </c>
      <c r="D150" s="5">
        <v>6</v>
      </c>
      <c r="E150" s="41" t="s">
        <v>1001</v>
      </c>
      <c r="F150" s="3" t="s">
        <v>20</v>
      </c>
      <c r="G150" s="3" t="s">
        <v>295</v>
      </c>
      <c r="H150" s="9" t="s">
        <v>13</v>
      </c>
      <c r="I150" s="9" t="s">
        <v>309</v>
      </c>
      <c r="J150" s="3" t="s">
        <v>10</v>
      </c>
      <c r="K150" s="72">
        <v>3</v>
      </c>
      <c r="L150" s="62"/>
      <c r="M150" s="47">
        <f t="shared" si="2"/>
        <v>0</v>
      </c>
      <c r="N150" s="45"/>
    </row>
    <row r="151" spans="2:14" x14ac:dyDescent="0.3">
      <c r="B151" s="42" t="s">
        <v>671</v>
      </c>
      <c r="C151" s="5" t="s">
        <v>285</v>
      </c>
      <c r="D151" s="5">
        <v>6</v>
      </c>
      <c r="E151" s="41" t="s">
        <v>1000</v>
      </c>
      <c r="F151" s="3" t="s">
        <v>20</v>
      </c>
      <c r="G151" s="3" t="s">
        <v>294</v>
      </c>
      <c r="H151" s="9" t="s">
        <v>13</v>
      </c>
      <c r="I151" s="9" t="s">
        <v>309</v>
      </c>
      <c r="J151" s="3" t="s">
        <v>10</v>
      </c>
      <c r="K151" s="72">
        <v>3</v>
      </c>
      <c r="L151" s="62"/>
      <c r="M151" s="47">
        <f t="shared" si="2"/>
        <v>0</v>
      </c>
      <c r="N151" s="45"/>
    </row>
    <row r="152" spans="2:14" x14ac:dyDescent="0.3">
      <c r="B152" s="42" t="s">
        <v>674</v>
      </c>
      <c r="C152" s="5" t="s">
        <v>285</v>
      </c>
      <c r="D152" s="5">
        <v>6</v>
      </c>
      <c r="E152" s="41" t="s">
        <v>1003</v>
      </c>
      <c r="F152" s="3" t="s">
        <v>20</v>
      </c>
      <c r="G152" s="3" t="s">
        <v>292</v>
      </c>
      <c r="H152" s="9" t="s">
        <v>13</v>
      </c>
      <c r="I152" s="9" t="s">
        <v>309</v>
      </c>
      <c r="J152" s="3" t="s">
        <v>10</v>
      </c>
      <c r="K152" s="72">
        <v>2</v>
      </c>
      <c r="L152" s="62"/>
      <c r="M152" s="47">
        <f t="shared" si="2"/>
        <v>0</v>
      </c>
      <c r="N152" s="45"/>
    </row>
    <row r="153" spans="2:14" x14ac:dyDescent="0.3">
      <c r="B153" s="42" t="s">
        <v>666</v>
      </c>
      <c r="C153" s="5" t="s">
        <v>285</v>
      </c>
      <c r="D153" s="5">
        <v>6</v>
      </c>
      <c r="E153" s="41" t="s">
        <v>995</v>
      </c>
      <c r="F153" s="3" t="s">
        <v>20</v>
      </c>
      <c r="G153" s="3" t="s">
        <v>297</v>
      </c>
      <c r="H153" s="9" t="s">
        <v>13</v>
      </c>
      <c r="I153" s="43" t="s">
        <v>1326</v>
      </c>
      <c r="J153" s="3" t="s">
        <v>10</v>
      </c>
      <c r="K153" s="72">
        <v>1</v>
      </c>
      <c r="L153" s="62"/>
      <c r="M153" s="47">
        <f t="shared" si="2"/>
        <v>0</v>
      </c>
      <c r="N153" s="45"/>
    </row>
    <row r="154" spans="2:14" x14ac:dyDescent="0.3">
      <c r="B154" s="42" t="s">
        <v>1071</v>
      </c>
      <c r="C154" s="5" t="s">
        <v>1108</v>
      </c>
      <c r="D154" s="5">
        <v>6</v>
      </c>
      <c r="E154" s="41" t="s">
        <v>1090</v>
      </c>
      <c r="F154" s="3" t="s">
        <v>20</v>
      </c>
      <c r="G154" s="3" t="s">
        <v>1091</v>
      </c>
      <c r="H154" s="9" t="s">
        <v>13</v>
      </c>
      <c r="I154" s="3"/>
      <c r="J154" s="3"/>
      <c r="K154" s="72">
        <v>5</v>
      </c>
      <c r="L154" s="62"/>
      <c r="M154" s="47">
        <f t="shared" si="2"/>
        <v>0</v>
      </c>
      <c r="N154" s="45"/>
    </row>
    <row r="155" spans="2:14" x14ac:dyDescent="0.3">
      <c r="B155" s="42" t="s">
        <v>514</v>
      </c>
      <c r="C155" s="5" t="s">
        <v>1108</v>
      </c>
      <c r="D155" s="5">
        <v>6</v>
      </c>
      <c r="E155" s="41" t="s">
        <v>842</v>
      </c>
      <c r="F155" s="3" t="s">
        <v>20</v>
      </c>
      <c r="G155" s="3" t="s">
        <v>195</v>
      </c>
      <c r="H155" s="9" t="s">
        <v>13</v>
      </c>
      <c r="I155" s="3"/>
      <c r="J155" s="3" t="s">
        <v>11</v>
      </c>
      <c r="K155" s="72">
        <v>10</v>
      </c>
      <c r="L155" s="62"/>
      <c r="M155" s="47">
        <f t="shared" si="2"/>
        <v>0</v>
      </c>
      <c r="N155" s="45"/>
    </row>
    <row r="156" spans="2:14" x14ac:dyDescent="0.3">
      <c r="B156" s="42" t="s">
        <v>516</v>
      </c>
      <c r="C156" s="5" t="s">
        <v>1108</v>
      </c>
      <c r="D156" s="5">
        <v>6</v>
      </c>
      <c r="E156" s="41" t="s">
        <v>844</v>
      </c>
      <c r="F156" s="3" t="s">
        <v>20</v>
      </c>
      <c r="G156" s="3" t="s">
        <v>195</v>
      </c>
      <c r="H156" s="9" t="s">
        <v>13</v>
      </c>
      <c r="I156" s="3"/>
      <c r="J156" s="3" t="s">
        <v>11</v>
      </c>
      <c r="K156" s="72">
        <v>2</v>
      </c>
      <c r="L156" s="62"/>
      <c r="M156" s="47">
        <f t="shared" si="2"/>
        <v>0</v>
      </c>
      <c r="N156" s="45"/>
    </row>
    <row r="157" spans="2:14" x14ac:dyDescent="0.3">
      <c r="B157" s="42" t="s">
        <v>1072</v>
      </c>
      <c r="C157" s="5" t="s">
        <v>1108</v>
      </c>
      <c r="D157" s="5">
        <v>6</v>
      </c>
      <c r="E157" s="41" t="s">
        <v>1092</v>
      </c>
      <c r="F157" s="3" t="s">
        <v>20</v>
      </c>
      <c r="G157" s="3" t="s">
        <v>29</v>
      </c>
      <c r="H157" s="9" t="s">
        <v>13</v>
      </c>
      <c r="I157" s="3"/>
      <c r="J157" s="3"/>
      <c r="K157" s="72">
        <v>2</v>
      </c>
      <c r="L157" s="62"/>
      <c r="M157" s="47">
        <f t="shared" si="2"/>
        <v>0</v>
      </c>
      <c r="N157" s="45"/>
    </row>
    <row r="158" spans="2:14" x14ac:dyDescent="0.3">
      <c r="B158" s="42" t="s">
        <v>1074</v>
      </c>
      <c r="C158" s="5" t="s">
        <v>1108</v>
      </c>
      <c r="D158" s="5">
        <v>6</v>
      </c>
      <c r="E158" s="41" t="s">
        <v>1094</v>
      </c>
      <c r="F158" s="3" t="s">
        <v>20</v>
      </c>
      <c r="G158" s="3" t="s">
        <v>29</v>
      </c>
      <c r="H158" s="9" t="s">
        <v>13</v>
      </c>
      <c r="I158" s="3"/>
      <c r="J158" s="3"/>
      <c r="K158" s="72">
        <v>5</v>
      </c>
      <c r="L158" s="62"/>
      <c r="M158" s="47">
        <f t="shared" si="2"/>
        <v>0</v>
      </c>
      <c r="N158" s="45"/>
    </row>
    <row r="159" spans="2:14" x14ac:dyDescent="0.3">
      <c r="B159" s="42" t="s">
        <v>1075</v>
      </c>
      <c r="C159" s="5" t="s">
        <v>1108</v>
      </c>
      <c r="D159" s="5">
        <v>6</v>
      </c>
      <c r="E159" s="41" t="s">
        <v>1095</v>
      </c>
      <c r="F159" s="3" t="s">
        <v>20</v>
      </c>
      <c r="G159" s="3" t="s">
        <v>29</v>
      </c>
      <c r="H159" s="9" t="s">
        <v>13</v>
      </c>
      <c r="I159" s="3"/>
      <c r="J159" s="3"/>
      <c r="K159" s="72">
        <v>5</v>
      </c>
      <c r="L159" s="62"/>
      <c r="M159" s="47">
        <f t="shared" si="2"/>
        <v>0</v>
      </c>
      <c r="N159" s="45"/>
    </row>
    <row r="160" spans="2:14" x14ac:dyDescent="0.3">
      <c r="B160" s="42" t="s">
        <v>1079</v>
      </c>
      <c r="C160" s="5" t="s">
        <v>1108</v>
      </c>
      <c r="D160" s="5">
        <v>6</v>
      </c>
      <c r="E160" s="41" t="s">
        <v>1095</v>
      </c>
      <c r="F160" s="3" t="s">
        <v>20</v>
      </c>
      <c r="G160" s="3" t="s">
        <v>1091</v>
      </c>
      <c r="H160" s="9" t="s">
        <v>13</v>
      </c>
      <c r="I160" s="3"/>
      <c r="J160" s="3"/>
      <c r="K160" s="72">
        <v>17</v>
      </c>
      <c r="L160" s="62"/>
      <c r="M160" s="47">
        <f t="shared" si="2"/>
        <v>0</v>
      </c>
      <c r="N160" s="45"/>
    </row>
    <row r="161" spans="2:14" x14ac:dyDescent="0.3">
      <c r="B161" s="42" t="s">
        <v>1076</v>
      </c>
      <c r="C161" s="5" t="s">
        <v>1108</v>
      </c>
      <c r="D161" s="5">
        <v>6</v>
      </c>
      <c r="E161" s="41" t="s">
        <v>1096</v>
      </c>
      <c r="F161" s="3" t="s">
        <v>20</v>
      </c>
      <c r="G161" s="3" t="s">
        <v>29</v>
      </c>
      <c r="H161" s="9" t="s">
        <v>13</v>
      </c>
      <c r="I161" s="3"/>
      <c r="J161" s="3"/>
      <c r="K161" s="72">
        <v>5</v>
      </c>
      <c r="L161" s="62"/>
      <c r="M161" s="47">
        <f t="shared" si="2"/>
        <v>0</v>
      </c>
      <c r="N161" s="45"/>
    </row>
    <row r="162" spans="2:14" x14ac:dyDescent="0.3">
      <c r="B162" s="42" t="s">
        <v>1077</v>
      </c>
      <c r="C162" s="5" t="s">
        <v>1108</v>
      </c>
      <c r="D162" s="5">
        <v>6</v>
      </c>
      <c r="E162" s="41" t="s">
        <v>1097</v>
      </c>
      <c r="F162" s="3" t="s">
        <v>20</v>
      </c>
      <c r="G162" s="3" t="s">
        <v>29</v>
      </c>
      <c r="H162" s="9" t="s">
        <v>13</v>
      </c>
      <c r="I162" s="3"/>
      <c r="J162" s="3"/>
      <c r="K162" s="72">
        <v>5</v>
      </c>
      <c r="L162" s="62"/>
      <c r="M162" s="47">
        <f t="shared" si="2"/>
        <v>0</v>
      </c>
      <c r="N162" s="45"/>
    </row>
    <row r="163" spans="2:14" x14ac:dyDescent="0.3">
      <c r="B163" s="42" t="s">
        <v>1078</v>
      </c>
      <c r="C163" s="5" t="s">
        <v>1108</v>
      </c>
      <c r="D163" s="5">
        <v>6</v>
      </c>
      <c r="E163" s="41" t="s">
        <v>1098</v>
      </c>
      <c r="F163" s="3" t="s">
        <v>20</v>
      </c>
      <c r="G163" s="3" t="s">
        <v>29</v>
      </c>
      <c r="H163" s="9" t="s">
        <v>13</v>
      </c>
      <c r="I163" s="3"/>
      <c r="J163" s="3"/>
      <c r="K163" s="72">
        <v>5</v>
      </c>
      <c r="L163" s="62"/>
      <c r="M163" s="47">
        <f t="shared" si="2"/>
        <v>0</v>
      </c>
      <c r="N163" s="45"/>
    </row>
    <row r="164" spans="2:14" x14ac:dyDescent="0.3">
      <c r="B164" s="42" t="s">
        <v>1073</v>
      </c>
      <c r="C164" s="5" t="s">
        <v>1108</v>
      </c>
      <c r="D164" s="5">
        <v>6</v>
      </c>
      <c r="E164" s="41" t="s">
        <v>1093</v>
      </c>
      <c r="F164" s="3" t="s">
        <v>20</v>
      </c>
      <c r="G164" s="3" t="s">
        <v>29</v>
      </c>
      <c r="H164" s="9" t="s">
        <v>13</v>
      </c>
      <c r="I164" s="3"/>
      <c r="J164" s="3"/>
      <c r="K164" s="72">
        <v>10</v>
      </c>
      <c r="L164" s="62"/>
      <c r="M164" s="47">
        <f t="shared" si="2"/>
        <v>0</v>
      </c>
      <c r="N164" s="45"/>
    </row>
    <row r="165" spans="2:14" x14ac:dyDescent="0.3">
      <c r="B165" s="42" t="s">
        <v>515</v>
      </c>
      <c r="C165" s="5" t="s">
        <v>1108</v>
      </c>
      <c r="D165" s="5">
        <v>6</v>
      </c>
      <c r="E165" s="41" t="s">
        <v>843</v>
      </c>
      <c r="F165" s="3" t="s">
        <v>20</v>
      </c>
      <c r="G165" s="3" t="s">
        <v>195</v>
      </c>
      <c r="H165" s="9" t="s">
        <v>13</v>
      </c>
      <c r="I165" s="3"/>
      <c r="J165" s="3" t="s">
        <v>11</v>
      </c>
      <c r="K165" s="72">
        <v>43</v>
      </c>
      <c r="L165" s="62"/>
      <c r="M165" s="47">
        <f t="shared" si="2"/>
        <v>0</v>
      </c>
      <c r="N165" s="45"/>
    </row>
    <row r="166" spans="2:14" x14ac:dyDescent="0.3">
      <c r="B166" s="42" t="s">
        <v>513</v>
      </c>
      <c r="C166" s="5" t="s">
        <v>1108</v>
      </c>
      <c r="D166" s="5">
        <v>6</v>
      </c>
      <c r="E166" s="41" t="s">
        <v>841</v>
      </c>
      <c r="F166" s="3" t="s">
        <v>20</v>
      </c>
      <c r="G166" s="3" t="s">
        <v>196</v>
      </c>
      <c r="H166" s="9" t="s">
        <v>13</v>
      </c>
      <c r="I166" s="3"/>
      <c r="J166" s="3" t="s">
        <v>11</v>
      </c>
      <c r="K166" s="72">
        <v>34</v>
      </c>
      <c r="L166" s="62"/>
      <c r="M166" s="47">
        <f t="shared" si="2"/>
        <v>0</v>
      </c>
      <c r="N166" s="45"/>
    </row>
    <row r="167" spans="2:14" x14ac:dyDescent="0.3">
      <c r="B167" s="67" t="s">
        <v>405</v>
      </c>
      <c r="C167" s="54" t="s">
        <v>1312</v>
      </c>
      <c r="D167" s="54">
        <v>6</v>
      </c>
      <c r="E167" s="52" t="s">
        <v>804</v>
      </c>
      <c r="F167" s="3" t="s">
        <v>20</v>
      </c>
      <c r="G167" s="54" t="s">
        <v>42</v>
      </c>
      <c r="H167" s="54" t="s">
        <v>13</v>
      </c>
      <c r="I167" s="54" t="s">
        <v>686</v>
      </c>
      <c r="J167" s="54" t="s">
        <v>10</v>
      </c>
      <c r="K167" s="73">
        <v>6</v>
      </c>
      <c r="L167" s="65"/>
      <c r="M167" s="47">
        <f t="shared" si="2"/>
        <v>0</v>
      </c>
      <c r="N167" s="45"/>
    </row>
    <row r="168" spans="2:14" x14ac:dyDescent="0.3">
      <c r="B168" s="67" t="s">
        <v>406</v>
      </c>
      <c r="C168" s="54" t="s">
        <v>1312</v>
      </c>
      <c r="D168" s="54">
        <v>6</v>
      </c>
      <c r="E168" s="52" t="s">
        <v>805</v>
      </c>
      <c r="F168" s="3" t="s">
        <v>20</v>
      </c>
      <c r="G168" s="54" t="s">
        <v>42</v>
      </c>
      <c r="H168" s="54" t="s">
        <v>13</v>
      </c>
      <c r="I168" s="54" t="s">
        <v>686</v>
      </c>
      <c r="J168" s="54" t="s">
        <v>10</v>
      </c>
      <c r="K168" s="73">
        <v>4</v>
      </c>
      <c r="L168" s="65"/>
      <c r="M168" s="47">
        <f t="shared" si="2"/>
        <v>0</v>
      </c>
      <c r="N168" s="45"/>
    </row>
    <row r="169" spans="2:14" x14ac:dyDescent="0.3">
      <c r="B169" s="67" t="s">
        <v>407</v>
      </c>
      <c r="C169" s="54" t="s">
        <v>1312</v>
      </c>
      <c r="D169" s="54">
        <v>6</v>
      </c>
      <c r="E169" s="52" t="s">
        <v>806</v>
      </c>
      <c r="F169" s="3" t="s">
        <v>20</v>
      </c>
      <c r="G169" s="54" t="s">
        <v>42</v>
      </c>
      <c r="H169" s="54" t="s">
        <v>13</v>
      </c>
      <c r="I169" s="54" t="s">
        <v>686</v>
      </c>
      <c r="J169" s="54" t="s">
        <v>10</v>
      </c>
      <c r="K169" s="73">
        <v>11</v>
      </c>
      <c r="L169" s="65"/>
      <c r="M169" s="47">
        <f t="shared" si="2"/>
        <v>0</v>
      </c>
      <c r="N169" s="45"/>
    </row>
    <row r="170" spans="2:14" x14ac:dyDescent="0.3">
      <c r="B170" s="67" t="s">
        <v>408</v>
      </c>
      <c r="C170" s="54" t="s">
        <v>1312</v>
      </c>
      <c r="D170" s="54">
        <v>6</v>
      </c>
      <c r="E170" s="52" t="s">
        <v>807</v>
      </c>
      <c r="F170" s="3" t="s">
        <v>20</v>
      </c>
      <c r="G170" s="54" t="s">
        <v>42</v>
      </c>
      <c r="H170" s="54" t="s">
        <v>13</v>
      </c>
      <c r="I170" s="54" t="s">
        <v>686</v>
      </c>
      <c r="J170" s="54" t="s">
        <v>10</v>
      </c>
      <c r="K170" s="73">
        <v>10</v>
      </c>
      <c r="L170" s="65"/>
      <c r="M170" s="47">
        <f t="shared" si="2"/>
        <v>0</v>
      </c>
      <c r="N170" s="45"/>
    </row>
    <row r="171" spans="2:14" x14ac:dyDescent="0.3">
      <c r="B171" s="67" t="s">
        <v>409</v>
      </c>
      <c r="C171" s="54" t="s">
        <v>1312</v>
      </c>
      <c r="D171" s="54">
        <v>6</v>
      </c>
      <c r="E171" s="52" t="s">
        <v>808</v>
      </c>
      <c r="F171" s="3" t="s">
        <v>20</v>
      </c>
      <c r="G171" s="54" t="s">
        <v>42</v>
      </c>
      <c r="H171" s="54" t="s">
        <v>13</v>
      </c>
      <c r="I171" s="54" t="s">
        <v>686</v>
      </c>
      <c r="J171" s="54" t="s">
        <v>10</v>
      </c>
      <c r="K171" s="73">
        <v>8</v>
      </c>
      <c r="L171" s="65"/>
      <c r="M171" s="47">
        <f t="shared" si="2"/>
        <v>0</v>
      </c>
      <c r="N171" s="45"/>
    </row>
    <row r="172" spans="2:14" x14ac:dyDescent="0.3">
      <c r="B172" s="67" t="s">
        <v>410</v>
      </c>
      <c r="C172" s="54" t="s">
        <v>1312</v>
      </c>
      <c r="D172" s="54">
        <v>6</v>
      </c>
      <c r="E172" s="52" t="s">
        <v>809</v>
      </c>
      <c r="F172" s="3" t="s">
        <v>20</v>
      </c>
      <c r="G172" s="54" t="s">
        <v>42</v>
      </c>
      <c r="H172" s="54" t="s">
        <v>13</v>
      </c>
      <c r="I172" s="54" t="s">
        <v>686</v>
      </c>
      <c r="J172" s="54" t="s">
        <v>10</v>
      </c>
      <c r="K172" s="73">
        <v>4</v>
      </c>
      <c r="L172" s="65"/>
      <c r="M172" s="47">
        <f t="shared" si="2"/>
        <v>0</v>
      </c>
      <c r="N172" s="45"/>
    </row>
    <row r="173" spans="2:14" x14ac:dyDescent="0.3">
      <c r="B173" s="67" t="s">
        <v>2093</v>
      </c>
      <c r="C173" s="5" t="s">
        <v>1478</v>
      </c>
      <c r="D173" s="5">
        <v>7</v>
      </c>
      <c r="E173" s="41" t="s">
        <v>1658</v>
      </c>
      <c r="F173" s="3" t="s">
        <v>20</v>
      </c>
      <c r="G173" s="3" t="s">
        <v>1481</v>
      </c>
      <c r="H173" s="3" t="s">
        <v>1275</v>
      </c>
      <c r="I173" s="36">
        <v>6100</v>
      </c>
      <c r="J173" s="3" t="s">
        <v>11</v>
      </c>
      <c r="K173" s="72">
        <v>750</v>
      </c>
      <c r="L173" s="62"/>
      <c r="M173" s="47">
        <f t="shared" si="2"/>
        <v>0</v>
      </c>
      <c r="N173" s="45"/>
    </row>
    <row r="174" spans="2:14" x14ac:dyDescent="0.3">
      <c r="B174" s="67" t="s">
        <v>2094</v>
      </c>
      <c r="C174" s="5" t="s">
        <v>1478</v>
      </c>
      <c r="D174" s="5">
        <v>7</v>
      </c>
      <c r="E174" s="41" t="s">
        <v>1482</v>
      </c>
      <c r="F174" s="3" t="s">
        <v>20</v>
      </c>
      <c r="G174" s="3" t="s">
        <v>1483</v>
      </c>
      <c r="H174" s="3" t="s">
        <v>1275</v>
      </c>
      <c r="I174" s="36">
        <v>2500</v>
      </c>
      <c r="J174" s="3" t="s">
        <v>11</v>
      </c>
      <c r="K174" s="72">
        <v>125</v>
      </c>
      <c r="L174" s="62"/>
      <c r="M174" s="47">
        <f t="shared" si="2"/>
        <v>0</v>
      </c>
      <c r="N174" s="45"/>
    </row>
    <row r="175" spans="2:14" x14ac:dyDescent="0.3">
      <c r="B175" s="67" t="s">
        <v>2095</v>
      </c>
      <c r="C175" s="5" t="s">
        <v>1478</v>
      </c>
      <c r="D175" s="5">
        <v>7</v>
      </c>
      <c r="E175" s="41" t="s">
        <v>1659</v>
      </c>
      <c r="F175" s="3" t="s">
        <v>20</v>
      </c>
      <c r="G175" s="3" t="s">
        <v>1484</v>
      </c>
      <c r="H175" s="3" t="s">
        <v>1275</v>
      </c>
      <c r="I175" s="36">
        <v>70000</v>
      </c>
      <c r="J175" s="3" t="s">
        <v>11</v>
      </c>
      <c r="K175" s="72">
        <v>150</v>
      </c>
      <c r="L175" s="62"/>
      <c r="M175" s="47">
        <f t="shared" si="2"/>
        <v>0</v>
      </c>
      <c r="N175" s="45"/>
    </row>
    <row r="176" spans="2:14" x14ac:dyDescent="0.3">
      <c r="B176" s="42" t="s">
        <v>347</v>
      </c>
      <c r="C176" s="5" t="s">
        <v>1033</v>
      </c>
      <c r="D176" s="5">
        <v>7</v>
      </c>
      <c r="E176" s="48" t="s">
        <v>745</v>
      </c>
      <c r="F176" s="3" t="s">
        <v>20</v>
      </c>
      <c r="G176" s="9" t="s">
        <v>28</v>
      </c>
      <c r="H176" s="9" t="s">
        <v>1275</v>
      </c>
      <c r="I176" s="9"/>
      <c r="J176" s="9" t="s">
        <v>10</v>
      </c>
      <c r="K176" s="72">
        <v>1</v>
      </c>
      <c r="L176" s="62"/>
      <c r="M176" s="47">
        <f t="shared" si="2"/>
        <v>0</v>
      </c>
      <c r="N176" s="45"/>
    </row>
    <row r="177" spans="2:14" x14ac:dyDescent="0.3">
      <c r="B177" s="42" t="s">
        <v>346</v>
      </c>
      <c r="C177" s="5" t="s">
        <v>1033</v>
      </c>
      <c r="D177" s="5">
        <v>7</v>
      </c>
      <c r="E177" s="48" t="s">
        <v>744</v>
      </c>
      <c r="F177" s="3" t="s">
        <v>20</v>
      </c>
      <c r="G177" s="9" t="s">
        <v>28</v>
      </c>
      <c r="H177" s="9" t="s">
        <v>1275</v>
      </c>
      <c r="I177" s="9"/>
      <c r="J177" s="9" t="s">
        <v>10</v>
      </c>
      <c r="K177" s="72">
        <v>1</v>
      </c>
      <c r="L177" s="62"/>
      <c r="M177" s="47">
        <f t="shared" si="2"/>
        <v>0</v>
      </c>
      <c r="N177" s="45"/>
    </row>
    <row r="178" spans="2:14" x14ac:dyDescent="0.3">
      <c r="B178" s="42" t="s">
        <v>348</v>
      </c>
      <c r="C178" s="5" t="s">
        <v>1033</v>
      </c>
      <c r="D178" s="5">
        <v>7</v>
      </c>
      <c r="E178" s="48" t="s">
        <v>746</v>
      </c>
      <c r="F178" s="3" t="s">
        <v>20</v>
      </c>
      <c r="G178" s="9" t="s">
        <v>28</v>
      </c>
      <c r="H178" s="9" t="s">
        <v>1275</v>
      </c>
      <c r="I178" s="9"/>
      <c r="J178" s="9" t="s">
        <v>10</v>
      </c>
      <c r="K178" s="72">
        <v>1</v>
      </c>
      <c r="L178" s="62"/>
      <c r="M178" s="47">
        <f t="shared" si="2"/>
        <v>0</v>
      </c>
      <c r="N178" s="45"/>
    </row>
    <row r="179" spans="2:14" x14ac:dyDescent="0.3">
      <c r="B179" s="42" t="s">
        <v>349</v>
      </c>
      <c r="C179" s="5" t="s">
        <v>1033</v>
      </c>
      <c r="D179" s="5">
        <v>7</v>
      </c>
      <c r="E179" s="48" t="s">
        <v>747</v>
      </c>
      <c r="F179" s="3" t="s">
        <v>20</v>
      </c>
      <c r="G179" s="9" t="s">
        <v>28</v>
      </c>
      <c r="H179" s="9" t="s">
        <v>1275</v>
      </c>
      <c r="I179" s="9"/>
      <c r="J179" s="9" t="s">
        <v>10</v>
      </c>
      <c r="K179" s="72">
        <v>1</v>
      </c>
      <c r="L179" s="62"/>
      <c r="M179" s="47">
        <f t="shared" si="2"/>
        <v>0</v>
      </c>
      <c r="N179" s="45"/>
    </row>
    <row r="180" spans="2:14" x14ac:dyDescent="0.3">
      <c r="B180" s="42" t="s">
        <v>1873</v>
      </c>
      <c r="C180" s="5" t="s">
        <v>1223</v>
      </c>
      <c r="D180" s="5">
        <v>8</v>
      </c>
      <c r="E180" s="41" t="s">
        <v>1740</v>
      </c>
      <c r="F180" s="3" t="s">
        <v>12</v>
      </c>
      <c r="G180" s="3" t="s">
        <v>1592</v>
      </c>
      <c r="H180" s="9" t="s">
        <v>13</v>
      </c>
      <c r="I180" s="3"/>
      <c r="J180" s="3" t="s">
        <v>11</v>
      </c>
      <c r="K180" s="72">
        <v>5</v>
      </c>
      <c r="L180" s="62"/>
      <c r="M180" s="47">
        <f t="shared" si="2"/>
        <v>0</v>
      </c>
      <c r="N180" s="45"/>
    </row>
    <row r="181" spans="2:14" x14ac:dyDescent="0.3">
      <c r="B181" s="42" t="s">
        <v>1884</v>
      </c>
      <c r="C181" s="5" t="s">
        <v>1314</v>
      </c>
      <c r="D181" s="5">
        <v>8</v>
      </c>
      <c r="E181" s="41" t="s">
        <v>1385</v>
      </c>
      <c r="F181" s="3" t="s">
        <v>12</v>
      </c>
      <c r="G181" s="3" t="s">
        <v>1386</v>
      </c>
      <c r="H181" s="3" t="s">
        <v>13</v>
      </c>
      <c r="I181" s="3"/>
      <c r="J181" s="3" t="s">
        <v>10</v>
      </c>
      <c r="K181" s="72">
        <v>20</v>
      </c>
      <c r="L181" s="62"/>
      <c r="M181" s="47">
        <f t="shared" si="2"/>
        <v>0</v>
      </c>
      <c r="N181" s="45"/>
    </row>
    <row r="182" spans="2:14" x14ac:dyDescent="0.3">
      <c r="B182" s="42" t="s">
        <v>1895</v>
      </c>
      <c r="C182" s="5" t="s">
        <v>1787</v>
      </c>
      <c r="D182" s="5">
        <v>8</v>
      </c>
      <c r="E182" s="41" t="s">
        <v>1792</v>
      </c>
      <c r="F182" s="3" t="s">
        <v>12</v>
      </c>
      <c r="G182" s="3" t="s">
        <v>686</v>
      </c>
      <c r="H182" s="9" t="s">
        <v>13</v>
      </c>
      <c r="I182" s="3"/>
      <c r="J182" s="3"/>
      <c r="K182" s="72">
        <v>2</v>
      </c>
      <c r="L182" s="62"/>
      <c r="M182" s="47">
        <f t="shared" si="2"/>
        <v>0</v>
      </c>
      <c r="N182" s="45"/>
    </row>
    <row r="183" spans="2:14" x14ac:dyDescent="0.3">
      <c r="B183" s="42" t="s">
        <v>1896</v>
      </c>
      <c r="C183" s="5" t="s">
        <v>1787</v>
      </c>
      <c r="D183" s="5">
        <v>8</v>
      </c>
      <c r="E183" s="41" t="s">
        <v>1793</v>
      </c>
      <c r="F183" s="3" t="s">
        <v>12</v>
      </c>
      <c r="G183" s="3" t="s">
        <v>686</v>
      </c>
      <c r="H183" s="9" t="s">
        <v>13</v>
      </c>
      <c r="I183" s="3"/>
      <c r="J183" s="3"/>
      <c r="K183" s="72">
        <v>2</v>
      </c>
      <c r="L183" s="62"/>
      <c r="M183" s="47">
        <f t="shared" si="2"/>
        <v>0</v>
      </c>
      <c r="N183" s="45"/>
    </row>
    <row r="184" spans="2:14" x14ac:dyDescent="0.3">
      <c r="B184" s="42" t="s">
        <v>1897</v>
      </c>
      <c r="C184" s="5" t="s">
        <v>1787</v>
      </c>
      <c r="D184" s="5">
        <v>8</v>
      </c>
      <c r="E184" s="41" t="s">
        <v>1794</v>
      </c>
      <c r="F184" s="3" t="s">
        <v>12</v>
      </c>
      <c r="G184" s="3" t="s">
        <v>686</v>
      </c>
      <c r="H184" s="9" t="s">
        <v>13</v>
      </c>
      <c r="I184" s="3"/>
      <c r="J184" s="3"/>
      <c r="K184" s="72">
        <v>9</v>
      </c>
      <c r="L184" s="62"/>
      <c r="M184" s="47">
        <f t="shared" si="2"/>
        <v>0</v>
      </c>
      <c r="N184" s="45"/>
    </row>
    <row r="185" spans="2:14" x14ac:dyDescent="0.3">
      <c r="B185" s="42" t="s">
        <v>1898</v>
      </c>
      <c r="C185" s="5" t="s">
        <v>1787</v>
      </c>
      <c r="D185" s="5">
        <v>8</v>
      </c>
      <c r="E185" s="41" t="s">
        <v>1795</v>
      </c>
      <c r="F185" s="3" t="s">
        <v>12</v>
      </c>
      <c r="G185" s="3" t="s">
        <v>686</v>
      </c>
      <c r="H185" s="9" t="s">
        <v>13</v>
      </c>
      <c r="I185" s="3"/>
      <c r="J185" s="3"/>
      <c r="K185" s="72">
        <v>2</v>
      </c>
      <c r="L185" s="62"/>
      <c r="M185" s="47">
        <f t="shared" si="2"/>
        <v>0</v>
      </c>
      <c r="N185" s="45"/>
    </row>
    <row r="186" spans="2:14" x14ac:dyDescent="0.3">
      <c r="B186" s="42" t="s">
        <v>1899</v>
      </c>
      <c r="C186" s="5" t="s">
        <v>1787</v>
      </c>
      <c r="D186" s="5">
        <v>8</v>
      </c>
      <c r="E186" s="41" t="s">
        <v>1796</v>
      </c>
      <c r="F186" s="3" t="s">
        <v>12</v>
      </c>
      <c r="G186" s="3" t="s">
        <v>686</v>
      </c>
      <c r="H186" s="9" t="s">
        <v>13</v>
      </c>
      <c r="I186" s="3"/>
      <c r="J186" s="3"/>
      <c r="K186" s="72">
        <v>6</v>
      </c>
      <c r="L186" s="62"/>
      <c r="M186" s="47">
        <f t="shared" si="2"/>
        <v>0</v>
      </c>
      <c r="N186" s="45"/>
    </row>
    <row r="187" spans="2:14" x14ac:dyDescent="0.3">
      <c r="B187" s="42" t="s">
        <v>1900</v>
      </c>
      <c r="C187" s="5" t="s">
        <v>1787</v>
      </c>
      <c r="D187" s="5">
        <v>8</v>
      </c>
      <c r="E187" s="41" t="s">
        <v>1797</v>
      </c>
      <c r="F187" s="3" t="s">
        <v>12</v>
      </c>
      <c r="G187" s="3" t="s">
        <v>686</v>
      </c>
      <c r="H187" s="9" t="s">
        <v>13</v>
      </c>
      <c r="I187" s="3"/>
      <c r="J187" s="3"/>
      <c r="K187" s="72">
        <v>2</v>
      </c>
      <c r="L187" s="62"/>
      <c r="M187" s="47">
        <f t="shared" si="2"/>
        <v>0</v>
      </c>
      <c r="N187" s="45"/>
    </row>
    <row r="188" spans="2:14" x14ac:dyDescent="0.3">
      <c r="B188" s="42" t="s">
        <v>1901</v>
      </c>
      <c r="C188" s="5" t="s">
        <v>1787</v>
      </c>
      <c r="D188" s="5">
        <v>8</v>
      </c>
      <c r="E188" s="41" t="s">
        <v>1798</v>
      </c>
      <c r="F188" s="3" t="s">
        <v>12</v>
      </c>
      <c r="G188" s="3" t="s">
        <v>686</v>
      </c>
      <c r="H188" s="9" t="s">
        <v>13</v>
      </c>
      <c r="I188" s="3"/>
      <c r="J188" s="3"/>
      <c r="K188" s="72">
        <v>2</v>
      </c>
      <c r="L188" s="62"/>
      <c r="M188" s="47">
        <f t="shared" si="2"/>
        <v>0</v>
      </c>
      <c r="N188" s="45"/>
    </row>
    <row r="189" spans="2:14" x14ac:dyDescent="0.3">
      <c r="B189" s="42" t="s">
        <v>1902</v>
      </c>
      <c r="C189" s="5" t="s">
        <v>1787</v>
      </c>
      <c r="D189" s="5">
        <v>8</v>
      </c>
      <c r="E189" s="41" t="s">
        <v>1799</v>
      </c>
      <c r="F189" s="3" t="s">
        <v>12</v>
      </c>
      <c r="G189" s="3" t="s">
        <v>686</v>
      </c>
      <c r="H189" s="9" t="s">
        <v>13</v>
      </c>
      <c r="I189" s="3"/>
      <c r="J189" s="3"/>
      <c r="K189" s="72">
        <v>9</v>
      </c>
      <c r="L189" s="62"/>
      <c r="M189" s="47">
        <f t="shared" si="2"/>
        <v>0</v>
      </c>
      <c r="N189" s="45"/>
    </row>
    <row r="190" spans="2:14" x14ac:dyDescent="0.3">
      <c r="B190" s="42" t="s">
        <v>1903</v>
      </c>
      <c r="C190" s="5" t="s">
        <v>1787</v>
      </c>
      <c r="D190" s="5">
        <v>8</v>
      </c>
      <c r="E190" s="41" t="s">
        <v>1810</v>
      </c>
      <c r="F190" s="3" t="s">
        <v>12</v>
      </c>
      <c r="G190" s="3" t="s">
        <v>686</v>
      </c>
      <c r="H190" s="9" t="s">
        <v>13</v>
      </c>
      <c r="I190" s="3"/>
      <c r="J190" s="3"/>
      <c r="K190" s="72">
        <v>2</v>
      </c>
      <c r="L190" s="62"/>
      <c r="M190" s="47">
        <f t="shared" si="2"/>
        <v>0</v>
      </c>
      <c r="N190" s="45"/>
    </row>
    <row r="191" spans="2:14" x14ac:dyDescent="0.3">
      <c r="B191" s="42" t="s">
        <v>1904</v>
      </c>
      <c r="C191" s="5" t="s">
        <v>1787</v>
      </c>
      <c r="D191" s="5">
        <v>8</v>
      </c>
      <c r="E191" s="41" t="s">
        <v>1811</v>
      </c>
      <c r="F191" s="3" t="s">
        <v>12</v>
      </c>
      <c r="G191" s="3" t="s">
        <v>686</v>
      </c>
      <c r="H191" s="9" t="s">
        <v>13</v>
      </c>
      <c r="I191" s="3"/>
      <c r="J191" s="3"/>
      <c r="K191" s="72">
        <v>2</v>
      </c>
      <c r="L191" s="62"/>
      <c r="M191" s="47">
        <f t="shared" si="2"/>
        <v>0</v>
      </c>
      <c r="N191" s="45"/>
    </row>
    <row r="192" spans="2:14" x14ac:dyDescent="0.3">
      <c r="B192" s="42" t="s">
        <v>1905</v>
      </c>
      <c r="C192" s="5" t="s">
        <v>1787</v>
      </c>
      <c r="D192" s="5">
        <v>8</v>
      </c>
      <c r="E192" s="41" t="s">
        <v>1812</v>
      </c>
      <c r="F192" s="3" t="s">
        <v>12</v>
      </c>
      <c r="G192" s="3" t="s">
        <v>686</v>
      </c>
      <c r="H192" s="9" t="s">
        <v>13</v>
      </c>
      <c r="I192" s="3"/>
      <c r="J192" s="3"/>
      <c r="K192" s="72">
        <v>2</v>
      </c>
      <c r="L192" s="62"/>
      <c r="M192" s="47">
        <f t="shared" si="2"/>
        <v>0</v>
      </c>
      <c r="N192" s="45"/>
    </row>
    <row r="193" spans="2:14" x14ac:dyDescent="0.3">
      <c r="B193" s="42" t="s">
        <v>1906</v>
      </c>
      <c r="C193" s="5" t="s">
        <v>1787</v>
      </c>
      <c r="D193" s="5">
        <v>8</v>
      </c>
      <c r="E193" s="41" t="s">
        <v>1813</v>
      </c>
      <c r="F193" s="3" t="s">
        <v>12</v>
      </c>
      <c r="G193" s="3" t="s">
        <v>686</v>
      </c>
      <c r="H193" s="9" t="s">
        <v>13</v>
      </c>
      <c r="I193" s="3"/>
      <c r="J193" s="3"/>
      <c r="K193" s="72">
        <v>2</v>
      </c>
      <c r="L193" s="62"/>
      <c r="M193" s="47">
        <f t="shared" si="2"/>
        <v>0</v>
      </c>
      <c r="N193" s="45"/>
    </row>
    <row r="194" spans="2:14" x14ac:dyDescent="0.3">
      <c r="B194" s="42" t="s">
        <v>1907</v>
      </c>
      <c r="C194" s="5" t="s">
        <v>1787</v>
      </c>
      <c r="D194" s="5">
        <v>8</v>
      </c>
      <c r="E194" s="41" t="s">
        <v>1815</v>
      </c>
      <c r="F194" s="3" t="s">
        <v>12</v>
      </c>
      <c r="G194" s="3" t="s">
        <v>686</v>
      </c>
      <c r="H194" s="9" t="s">
        <v>13</v>
      </c>
      <c r="I194" s="3"/>
      <c r="J194" s="3"/>
      <c r="K194" s="72">
        <v>495</v>
      </c>
      <c r="L194" s="62"/>
      <c r="M194" s="47">
        <f t="shared" si="2"/>
        <v>0</v>
      </c>
      <c r="N194" s="45"/>
    </row>
    <row r="195" spans="2:14" x14ac:dyDescent="0.3">
      <c r="B195" s="42" t="s">
        <v>1908</v>
      </c>
      <c r="C195" s="5" t="s">
        <v>1787</v>
      </c>
      <c r="D195" s="5">
        <v>8</v>
      </c>
      <c r="E195" s="41" t="s">
        <v>1816</v>
      </c>
      <c r="F195" s="3" t="s">
        <v>12</v>
      </c>
      <c r="G195" s="3" t="s">
        <v>686</v>
      </c>
      <c r="H195" s="9" t="s">
        <v>13</v>
      </c>
      <c r="I195" s="3"/>
      <c r="J195" s="3"/>
      <c r="K195" s="72">
        <v>162</v>
      </c>
      <c r="L195" s="62"/>
      <c r="M195" s="47">
        <f t="shared" si="2"/>
        <v>0</v>
      </c>
      <c r="N195" s="45"/>
    </row>
    <row r="196" spans="2:14" x14ac:dyDescent="0.3">
      <c r="B196" s="42" t="s">
        <v>1909</v>
      </c>
      <c r="C196" s="5" t="s">
        <v>1787</v>
      </c>
      <c r="D196" s="5">
        <v>8</v>
      </c>
      <c r="E196" s="41" t="s">
        <v>1817</v>
      </c>
      <c r="F196" s="3" t="s">
        <v>12</v>
      </c>
      <c r="G196" s="3" t="s">
        <v>686</v>
      </c>
      <c r="H196" s="9" t="s">
        <v>13</v>
      </c>
      <c r="I196" s="3"/>
      <c r="J196" s="3"/>
      <c r="K196" s="72">
        <v>157</v>
      </c>
      <c r="L196" s="62"/>
      <c r="M196" s="47">
        <f t="shared" ref="M196:M214" si="3">+K196*L196</f>
        <v>0</v>
      </c>
      <c r="N196" s="45"/>
    </row>
    <row r="197" spans="2:14" x14ac:dyDescent="0.3">
      <c r="B197" s="42" t="s">
        <v>1910</v>
      </c>
      <c r="C197" s="5" t="s">
        <v>1787</v>
      </c>
      <c r="D197" s="5">
        <v>8</v>
      </c>
      <c r="E197" s="41" t="s">
        <v>1818</v>
      </c>
      <c r="F197" s="3" t="s">
        <v>12</v>
      </c>
      <c r="G197" s="3" t="s">
        <v>686</v>
      </c>
      <c r="H197" s="9" t="s">
        <v>13</v>
      </c>
      <c r="I197" s="3"/>
      <c r="J197" s="3"/>
      <c r="K197" s="72">
        <v>35</v>
      </c>
      <c r="L197" s="62"/>
      <c r="M197" s="47">
        <f t="shared" si="3"/>
        <v>0</v>
      </c>
      <c r="N197" s="45"/>
    </row>
    <row r="198" spans="2:14" x14ac:dyDescent="0.3">
      <c r="B198" s="42" t="s">
        <v>1911</v>
      </c>
      <c r="C198" s="5" t="s">
        <v>1787</v>
      </c>
      <c r="D198" s="5">
        <v>8</v>
      </c>
      <c r="E198" s="41" t="s">
        <v>1819</v>
      </c>
      <c r="F198" s="3" t="s">
        <v>12</v>
      </c>
      <c r="G198" s="3" t="s">
        <v>686</v>
      </c>
      <c r="H198" s="9" t="s">
        <v>13</v>
      </c>
      <c r="I198" s="3"/>
      <c r="J198" s="3"/>
      <c r="K198" s="72">
        <v>500</v>
      </c>
      <c r="L198" s="62"/>
      <c r="M198" s="47">
        <f t="shared" si="3"/>
        <v>0</v>
      </c>
      <c r="N198" s="45"/>
    </row>
    <row r="199" spans="2:14" x14ac:dyDescent="0.3">
      <c r="B199" s="42" t="s">
        <v>1912</v>
      </c>
      <c r="C199" s="5" t="s">
        <v>1787</v>
      </c>
      <c r="D199" s="5">
        <v>8</v>
      </c>
      <c r="E199" s="41" t="s">
        <v>1820</v>
      </c>
      <c r="F199" s="3" t="s">
        <v>12</v>
      </c>
      <c r="G199" s="3" t="s">
        <v>686</v>
      </c>
      <c r="H199" s="9" t="s">
        <v>13</v>
      </c>
      <c r="I199" s="3"/>
      <c r="J199" s="3"/>
      <c r="K199" s="72">
        <v>400</v>
      </c>
      <c r="L199" s="62"/>
      <c r="M199" s="47">
        <f t="shared" si="3"/>
        <v>0</v>
      </c>
      <c r="N199" s="45"/>
    </row>
    <row r="200" spans="2:14" x14ac:dyDescent="0.3">
      <c r="B200" s="42" t="s">
        <v>1913</v>
      </c>
      <c r="C200" s="5" t="s">
        <v>1787</v>
      </c>
      <c r="D200" s="5">
        <v>8</v>
      </c>
      <c r="E200" s="41" t="s">
        <v>1821</v>
      </c>
      <c r="F200" s="3" t="s">
        <v>12</v>
      </c>
      <c r="G200" s="3" t="s">
        <v>686</v>
      </c>
      <c r="H200" s="9" t="s">
        <v>13</v>
      </c>
      <c r="I200" s="3"/>
      <c r="J200" s="3"/>
      <c r="K200" s="72">
        <v>2</v>
      </c>
      <c r="L200" s="62"/>
      <c r="M200" s="47">
        <f t="shared" si="3"/>
        <v>0</v>
      </c>
      <c r="N200" s="45"/>
    </row>
    <row r="201" spans="2:14" x14ac:dyDescent="0.3">
      <c r="B201" s="42" t="s">
        <v>1914</v>
      </c>
      <c r="C201" s="5" t="s">
        <v>1787</v>
      </c>
      <c r="D201" s="5">
        <v>8</v>
      </c>
      <c r="E201" s="41" t="s">
        <v>1821</v>
      </c>
      <c r="F201" s="3" t="s">
        <v>12</v>
      </c>
      <c r="G201" s="3" t="s">
        <v>686</v>
      </c>
      <c r="H201" s="9" t="s">
        <v>13</v>
      </c>
      <c r="I201" s="3"/>
      <c r="J201" s="3"/>
      <c r="K201" s="72">
        <v>3</v>
      </c>
      <c r="L201" s="62"/>
      <c r="M201" s="47">
        <f t="shared" si="3"/>
        <v>0</v>
      </c>
      <c r="N201" s="45"/>
    </row>
    <row r="202" spans="2:14" x14ac:dyDescent="0.3">
      <c r="B202" s="42" t="s">
        <v>1915</v>
      </c>
      <c r="C202" s="5" t="s">
        <v>1787</v>
      </c>
      <c r="D202" s="5">
        <v>8</v>
      </c>
      <c r="E202" s="41" t="s">
        <v>1822</v>
      </c>
      <c r="F202" s="3" t="s">
        <v>12</v>
      </c>
      <c r="G202" s="3" t="s">
        <v>686</v>
      </c>
      <c r="H202" s="9" t="s">
        <v>13</v>
      </c>
      <c r="I202" s="3"/>
      <c r="J202" s="3"/>
      <c r="K202" s="72">
        <v>828</v>
      </c>
      <c r="L202" s="62"/>
      <c r="M202" s="47">
        <f t="shared" si="3"/>
        <v>0</v>
      </c>
      <c r="N202" s="45"/>
    </row>
    <row r="203" spans="2:14" x14ac:dyDescent="0.3">
      <c r="B203" s="42" t="s">
        <v>1916</v>
      </c>
      <c r="C203" s="5" t="s">
        <v>1787</v>
      </c>
      <c r="D203" s="5">
        <v>8</v>
      </c>
      <c r="E203" s="41" t="s">
        <v>1823</v>
      </c>
      <c r="F203" s="3" t="s">
        <v>12</v>
      </c>
      <c r="G203" s="3" t="s">
        <v>686</v>
      </c>
      <c r="H203" s="9" t="s">
        <v>13</v>
      </c>
      <c r="I203" s="3"/>
      <c r="J203" s="3"/>
      <c r="K203" s="72">
        <v>265</v>
      </c>
      <c r="L203" s="62"/>
      <c r="M203" s="47">
        <f t="shared" si="3"/>
        <v>0</v>
      </c>
      <c r="N203" s="45"/>
    </row>
    <row r="204" spans="2:14" x14ac:dyDescent="0.3">
      <c r="B204" s="42" t="s">
        <v>1917</v>
      </c>
      <c r="C204" s="5" t="s">
        <v>1787</v>
      </c>
      <c r="D204" s="5">
        <v>8</v>
      </c>
      <c r="E204" s="41" t="s">
        <v>1824</v>
      </c>
      <c r="F204" s="3" t="s">
        <v>12</v>
      </c>
      <c r="G204" s="3" t="s">
        <v>686</v>
      </c>
      <c r="H204" s="9" t="s">
        <v>13</v>
      </c>
      <c r="I204" s="3"/>
      <c r="J204" s="3"/>
      <c r="K204" s="72">
        <v>448</v>
      </c>
      <c r="L204" s="62"/>
      <c r="M204" s="47">
        <f t="shared" si="3"/>
        <v>0</v>
      </c>
      <c r="N204" s="45"/>
    </row>
    <row r="205" spans="2:14" x14ac:dyDescent="0.3">
      <c r="B205" s="42" t="s">
        <v>1918</v>
      </c>
      <c r="C205" s="5" t="s">
        <v>1787</v>
      </c>
      <c r="D205" s="5">
        <v>8</v>
      </c>
      <c r="E205" s="41" t="s">
        <v>1825</v>
      </c>
      <c r="F205" s="3" t="s">
        <v>12</v>
      </c>
      <c r="G205" s="3" t="s">
        <v>686</v>
      </c>
      <c r="H205" s="9" t="s">
        <v>13</v>
      </c>
      <c r="I205" s="3"/>
      <c r="J205" s="3"/>
      <c r="K205" s="72">
        <v>40</v>
      </c>
      <c r="L205" s="62"/>
      <c r="M205" s="47">
        <f t="shared" si="3"/>
        <v>0</v>
      </c>
      <c r="N205" s="45"/>
    </row>
    <row r="206" spans="2:14" x14ac:dyDescent="0.3">
      <c r="B206" s="42" t="s">
        <v>1919</v>
      </c>
      <c r="C206" s="5" t="s">
        <v>1787</v>
      </c>
      <c r="D206" s="5">
        <v>8</v>
      </c>
      <c r="E206" s="41" t="s">
        <v>1826</v>
      </c>
      <c r="F206" s="3" t="s">
        <v>12</v>
      </c>
      <c r="G206" s="3" t="s">
        <v>686</v>
      </c>
      <c r="H206" s="9" t="s">
        <v>13</v>
      </c>
      <c r="I206" s="3"/>
      <c r="J206" s="3"/>
      <c r="K206" s="72">
        <v>40</v>
      </c>
      <c r="L206" s="62"/>
      <c r="M206" s="47">
        <f t="shared" si="3"/>
        <v>0</v>
      </c>
      <c r="N206" s="45"/>
    </row>
    <row r="207" spans="2:14" x14ac:dyDescent="0.3">
      <c r="B207" s="42" t="s">
        <v>1920</v>
      </c>
      <c r="C207" s="5" t="s">
        <v>1787</v>
      </c>
      <c r="D207" s="5">
        <v>8</v>
      </c>
      <c r="E207" s="41" t="s">
        <v>1827</v>
      </c>
      <c r="F207" s="3" t="s">
        <v>12</v>
      </c>
      <c r="G207" s="3" t="s">
        <v>686</v>
      </c>
      <c r="H207" s="9" t="s">
        <v>13</v>
      </c>
      <c r="I207" s="3"/>
      <c r="J207" s="3"/>
      <c r="K207" s="72">
        <v>300</v>
      </c>
      <c r="L207" s="62"/>
      <c r="M207" s="47">
        <f t="shared" si="3"/>
        <v>0</v>
      </c>
      <c r="N207" s="45"/>
    </row>
    <row r="208" spans="2:14" x14ac:dyDescent="0.3">
      <c r="B208" s="42" t="s">
        <v>1921</v>
      </c>
      <c r="C208" s="5" t="s">
        <v>1787</v>
      </c>
      <c r="D208" s="5">
        <v>8</v>
      </c>
      <c r="E208" s="41" t="s">
        <v>1828</v>
      </c>
      <c r="F208" s="3" t="s">
        <v>12</v>
      </c>
      <c r="G208" s="3" t="s">
        <v>686</v>
      </c>
      <c r="H208" s="9" t="s">
        <v>13</v>
      </c>
      <c r="I208" s="3"/>
      <c r="J208" s="3"/>
      <c r="K208" s="72">
        <v>53</v>
      </c>
      <c r="L208" s="62"/>
      <c r="M208" s="47">
        <f t="shared" si="3"/>
        <v>0</v>
      </c>
      <c r="N208" s="45"/>
    </row>
    <row r="209" spans="2:14" x14ac:dyDescent="0.3">
      <c r="B209" s="42" t="s">
        <v>1922</v>
      </c>
      <c r="C209" s="5" t="s">
        <v>1787</v>
      </c>
      <c r="D209" s="5">
        <v>8</v>
      </c>
      <c r="E209" s="41" t="s">
        <v>1829</v>
      </c>
      <c r="F209" s="3" t="s">
        <v>12</v>
      </c>
      <c r="G209" s="3" t="s">
        <v>686</v>
      </c>
      <c r="H209" s="9" t="s">
        <v>13</v>
      </c>
      <c r="I209" s="3"/>
      <c r="J209" s="3"/>
      <c r="K209" s="72">
        <v>33</v>
      </c>
      <c r="L209" s="62"/>
      <c r="M209" s="47">
        <f t="shared" si="3"/>
        <v>0</v>
      </c>
      <c r="N209" s="45"/>
    </row>
    <row r="210" spans="2:14" x14ac:dyDescent="0.3">
      <c r="B210" s="42" t="s">
        <v>1923</v>
      </c>
      <c r="C210" s="5" t="s">
        <v>1787</v>
      </c>
      <c r="D210" s="5">
        <v>8</v>
      </c>
      <c r="E210" s="41" t="s">
        <v>1830</v>
      </c>
      <c r="F210" s="3" t="s">
        <v>12</v>
      </c>
      <c r="G210" s="3" t="s">
        <v>686</v>
      </c>
      <c r="H210" s="9" t="s">
        <v>13</v>
      </c>
      <c r="I210" s="3"/>
      <c r="J210" s="3"/>
      <c r="K210" s="72">
        <v>8</v>
      </c>
      <c r="L210" s="62"/>
      <c r="M210" s="47">
        <f t="shared" si="3"/>
        <v>0</v>
      </c>
      <c r="N210" s="45"/>
    </row>
    <row r="211" spans="2:14" x14ac:dyDescent="0.3">
      <c r="B211" s="42" t="s">
        <v>1924</v>
      </c>
      <c r="C211" s="5" t="s">
        <v>1787</v>
      </c>
      <c r="D211" s="5">
        <v>8</v>
      </c>
      <c r="E211" s="41" t="s">
        <v>1831</v>
      </c>
      <c r="F211" s="3" t="s">
        <v>12</v>
      </c>
      <c r="G211" s="3" t="s">
        <v>686</v>
      </c>
      <c r="H211" s="9" t="s">
        <v>13</v>
      </c>
      <c r="I211" s="3"/>
      <c r="J211" s="3"/>
      <c r="K211" s="72">
        <v>5</v>
      </c>
      <c r="L211" s="62"/>
      <c r="M211" s="47">
        <f t="shared" si="3"/>
        <v>0</v>
      </c>
      <c r="N211" s="45"/>
    </row>
    <row r="212" spans="2:14" x14ac:dyDescent="0.3">
      <c r="B212" s="42" t="s">
        <v>1925</v>
      </c>
      <c r="C212" s="5" t="s">
        <v>1787</v>
      </c>
      <c r="D212" s="5">
        <v>8</v>
      </c>
      <c r="E212" s="41" t="s">
        <v>1832</v>
      </c>
      <c r="F212" s="3" t="s">
        <v>12</v>
      </c>
      <c r="G212" s="3" t="s">
        <v>686</v>
      </c>
      <c r="H212" s="9" t="s">
        <v>13</v>
      </c>
      <c r="I212" s="3"/>
      <c r="J212" s="3"/>
      <c r="K212" s="72">
        <v>6</v>
      </c>
      <c r="L212" s="62"/>
      <c r="M212" s="47">
        <f t="shared" si="3"/>
        <v>0</v>
      </c>
      <c r="N212" s="45"/>
    </row>
    <row r="213" spans="2:14" x14ac:dyDescent="0.3">
      <c r="B213" s="42" t="s">
        <v>1926</v>
      </c>
      <c r="C213" s="5" t="s">
        <v>1787</v>
      </c>
      <c r="D213" s="5">
        <v>8</v>
      </c>
      <c r="E213" s="41" t="s">
        <v>1833</v>
      </c>
      <c r="F213" s="3" t="s">
        <v>12</v>
      </c>
      <c r="G213" s="3" t="s">
        <v>686</v>
      </c>
      <c r="H213" s="9" t="s">
        <v>13</v>
      </c>
      <c r="I213" s="3"/>
      <c r="J213" s="3"/>
      <c r="K213" s="72">
        <v>21</v>
      </c>
      <c r="L213" s="62"/>
      <c r="M213" s="47">
        <f t="shared" si="3"/>
        <v>0</v>
      </c>
      <c r="N213" s="45"/>
    </row>
    <row r="214" spans="2:14" x14ac:dyDescent="0.3">
      <c r="B214" s="42" t="s">
        <v>1927</v>
      </c>
      <c r="C214" s="5" t="s">
        <v>1787</v>
      </c>
      <c r="D214" s="5">
        <v>8</v>
      </c>
      <c r="E214" s="41" t="s">
        <v>1843</v>
      </c>
      <c r="F214" s="3" t="s">
        <v>12</v>
      </c>
      <c r="G214" s="3" t="s">
        <v>686</v>
      </c>
      <c r="H214" s="9" t="s">
        <v>13</v>
      </c>
      <c r="I214" s="3"/>
      <c r="J214" s="3"/>
      <c r="K214" s="72">
        <v>65</v>
      </c>
      <c r="L214" s="62"/>
      <c r="M214" s="47">
        <f t="shared" si="3"/>
        <v>0</v>
      </c>
      <c r="N214" s="45"/>
    </row>
    <row r="215" spans="2:14" ht="15" x14ac:dyDescent="0.3">
      <c r="B215" s="42" t="s">
        <v>1956</v>
      </c>
      <c r="C215" s="5" t="s">
        <v>1397</v>
      </c>
      <c r="D215" s="5">
        <v>8</v>
      </c>
      <c r="E215" s="51" t="s">
        <v>1398</v>
      </c>
      <c r="F215" s="3" t="s">
        <v>12</v>
      </c>
      <c r="G215" s="3" t="s">
        <v>1583</v>
      </c>
      <c r="H215" s="9" t="s">
        <v>13</v>
      </c>
      <c r="I215" s="3"/>
      <c r="J215" s="3" t="s">
        <v>11</v>
      </c>
      <c r="K215" s="74">
        <v>1</v>
      </c>
      <c r="L215" s="64"/>
      <c r="M215" s="47">
        <f t="shared" ref="M215:M233" si="4">K215*L215</f>
        <v>0</v>
      </c>
      <c r="N215" s="45"/>
    </row>
    <row r="216" spans="2:14" ht="15" x14ac:dyDescent="0.3">
      <c r="B216" s="42" t="s">
        <v>1957</v>
      </c>
      <c r="C216" s="5" t="s">
        <v>1397</v>
      </c>
      <c r="D216" s="5">
        <v>8</v>
      </c>
      <c r="E216" s="51" t="s">
        <v>1399</v>
      </c>
      <c r="F216" s="3" t="s">
        <v>12</v>
      </c>
      <c r="G216" s="3" t="s">
        <v>1584</v>
      </c>
      <c r="H216" s="9" t="s">
        <v>13</v>
      </c>
      <c r="I216" s="3"/>
      <c r="J216" s="3" t="s">
        <v>11</v>
      </c>
      <c r="K216" s="74">
        <v>1</v>
      </c>
      <c r="L216" s="64"/>
      <c r="M216" s="47">
        <f t="shared" si="4"/>
        <v>0</v>
      </c>
      <c r="N216" s="45"/>
    </row>
    <row r="217" spans="2:14" ht="15" x14ac:dyDescent="0.3">
      <c r="B217" s="42" t="s">
        <v>1958</v>
      </c>
      <c r="C217" s="5" t="s">
        <v>1397</v>
      </c>
      <c r="D217" s="5">
        <v>8</v>
      </c>
      <c r="E217" s="14" t="s">
        <v>1400</v>
      </c>
      <c r="F217" s="3" t="s">
        <v>12</v>
      </c>
      <c r="G217" s="3" t="s">
        <v>1585</v>
      </c>
      <c r="H217" s="9" t="s">
        <v>13</v>
      </c>
      <c r="I217" s="3"/>
      <c r="J217" s="3" t="s">
        <v>11</v>
      </c>
      <c r="K217" s="74">
        <v>1</v>
      </c>
      <c r="L217" s="64"/>
      <c r="M217" s="47">
        <f t="shared" si="4"/>
        <v>0</v>
      </c>
      <c r="N217" s="45"/>
    </row>
    <row r="218" spans="2:14" ht="15" x14ac:dyDescent="0.3">
      <c r="B218" s="42" t="s">
        <v>1959</v>
      </c>
      <c r="C218" s="5" t="s">
        <v>1397</v>
      </c>
      <c r="D218" s="5">
        <v>8</v>
      </c>
      <c r="E218" s="53" t="s">
        <v>1646</v>
      </c>
      <c r="F218" s="3" t="s">
        <v>12</v>
      </c>
      <c r="G218" s="5" t="s">
        <v>1646</v>
      </c>
      <c r="H218" s="9" t="s">
        <v>13</v>
      </c>
      <c r="I218" s="3"/>
      <c r="J218" s="3" t="s">
        <v>11</v>
      </c>
      <c r="K218" s="71">
        <v>360</v>
      </c>
      <c r="L218" s="64"/>
      <c r="M218" s="47">
        <f t="shared" si="4"/>
        <v>0</v>
      </c>
      <c r="N218" s="45"/>
    </row>
    <row r="219" spans="2:14" ht="15" x14ac:dyDescent="0.3">
      <c r="B219" s="42" t="s">
        <v>1960</v>
      </c>
      <c r="C219" s="5" t="s">
        <v>1397</v>
      </c>
      <c r="D219" s="5">
        <v>8</v>
      </c>
      <c r="E219" s="53" t="s">
        <v>1544</v>
      </c>
      <c r="F219" s="3" t="s">
        <v>12</v>
      </c>
      <c r="G219" s="5" t="s">
        <v>1544</v>
      </c>
      <c r="H219" s="9" t="s">
        <v>13</v>
      </c>
      <c r="I219" s="3"/>
      <c r="J219" s="3" t="s">
        <v>11</v>
      </c>
      <c r="K219" s="71">
        <v>42</v>
      </c>
      <c r="L219" s="64"/>
      <c r="M219" s="47">
        <f t="shared" si="4"/>
        <v>0</v>
      </c>
      <c r="N219" s="45"/>
    </row>
    <row r="220" spans="2:14" ht="15" x14ac:dyDescent="0.3">
      <c r="B220" s="42" t="s">
        <v>1961</v>
      </c>
      <c r="C220" s="5" t="s">
        <v>1397</v>
      </c>
      <c r="D220" s="5">
        <v>8</v>
      </c>
      <c r="E220" s="53" t="s">
        <v>1645</v>
      </c>
      <c r="F220" s="3" t="s">
        <v>12</v>
      </c>
      <c r="G220" s="5" t="s">
        <v>1645</v>
      </c>
      <c r="H220" s="9" t="s">
        <v>13</v>
      </c>
      <c r="I220" s="3"/>
      <c r="J220" s="3" t="s">
        <v>11</v>
      </c>
      <c r="K220" s="71">
        <v>10</v>
      </c>
      <c r="L220" s="64"/>
      <c r="M220" s="47">
        <f t="shared" si="4"/>
        <v>0</v>
      </c>
      <c r="N220" s="45"/>
    </row>
    <row r="221" spans="2:14" ht="15" x14ac:dyDescent="0.3">
      <c r="B221" s="42" t="s">
        <v>1962</v>
      </c>
      <c r="C221" s="5" t="s">
        <v>1397</v>
      </c>
      <c r="D221" s="5">
        <v>8</v>
      </c>
      <c r="E221" s="53" t="s">
        <v>1701</v>
      </c>
      <c r="F221" s="3" t="s">
        <v>12</v>
      </c>
      <c r="G221" s="5" t="s">
        <v>1701</v>
      </c>
      <c r="H221" s="9" t="s">
        <v>13</v>
      </c>
      <c r="I221" s="3"/>
      <c r="J221" s="3" t="s">
        <v>11</v>
      </c>
      <c r="K221" s="71">
        <v>2</v>
      </c>
      <c r="L221" s="64"/>
      <c r="M221" s="47">
        <f t="shared" si="4"/>
        <v>0</v>
      </c>
      <c r="N221" s="45"/>
    </row>
    <row r="222" spans="2:14" ht="15" x14ac:dyDescent="0.3">
      <c r="B222" s="42" t="s">
        <v>1963</v>
      </c>
      <c r="C222" s="5" t="s">
        <v>1397</v>
      </c>
      <c r="D222" s="5">
        <v>8</v>
      </c>
      <c r="E222" s="53" t="s">
        <v>1678</v>
      </c>
      <c r="F222" s="3" t="s">
        <v>12</v>
      </c>
      <c r="G222" s="5" t="s">
        <v>1678</v>
      </c>
      <c r="H222" s="9" t="s">
        <v>13</v>
      </c>
      <c r="I222" s="3"/>
      <c r="J222" s="3" t="s">
        <v>11</v>
      </c>
      <c r="K222" s="71">
        <v>2</v>
      </c>
      <c r="L222" s="64"/>
      <c r="M222" s="47">
        <f t="shared" si="4"/>
        <v>0</v>
      </c>
      <c r="N222" s="45"/>
    </row>
    <row r="223" spans="2:14" ht="15" x14ac:dyDescent="0.3">
      <c r="B223" s="42" t="s">
        <v>1964</v>
      </c>
      <c r="C223" s="5" t="s">
        <v>1397</v>
      </c>
      <c r="D223" s="5">
        <v>8</v>
      </c>
      <c r="E223" s="53" t="s">
        <v>1690</v>
      </c>
      <c r="F223" s="3" t="s">
        <v>12</v>
      </c>
      <c r="G223" s="5" t="s">
        <v>1690</v>
      </c>
      <c r="H223" s="9" t="s">
        <v>13</v>
      </c>
      <c r="I223" s="3"/>
      <c r="J223" s="3" t="s">
        <v>11</v>
      </c>
      <c r="K223" s="71">
        <v>2</v>
      </c>
      <c r="L223" s="64"/>
      <c r="M223" s="47">
        <f t="shared" si="4"/>
        <v>0</v>
      </c>
      <c r="N223" s="45"/>
    </row>
    <row r="224" spans="2:14" ht="15" x14ac:dyDescent="0.3">
      <c r="B224" s="42" t="s">
        <v>1965</v>
      </c>
      <c r="C224" s="5" t="s">
        <v>1397</v>
      </c>
      <c r="D224" s="5">
        <v>8</v>
      </c>
      <c r="E224" s="53" t="s">
        <v>1545</v>
      </c>
      <c r="F224" s="3" t="s">
        <v>12</v>
      </c>
      <c r="G224" s="5" t="s">
        <v>1545</v>
      </c>
      <c r="H224" s="9" t="s">
        <v>13</v>
      </c>
      <c r="I224" s="3"/>
      <c r="J224" s="3" t="s">
        <v>11</v>
      </c>
      <c r="K224" s="71">
        <v>30</v>
      </c>
      <c r="L224" s="64"/>
      <c r="M224" s="47">
        <f t="shared" si="4"/>
        <v>0</v>
      </c>
      <c r="N224" s="45"/>
    </row>
    <row r="225" spans="2:14" ht="15" x14ac:dyDescent="0.3">
      <c r="B225" s="42" t="s">
        <v>1966</v>
      </c>
      <c r="C225" s="5" t="s">
        <v>1397</v>
      </c>
      <c r="D225" s="5">
        <v>8</v>
      </c>
      <c r="E225" s="53" t="s">
        <v>1546</v>
      </c>
      <c r="F225" s="3" t="s">
        <v>12</v>
      </c>
      <c r="G225" s="5" t="s">
        <v>1546</v>
      </c>
      <c r="H225" s="9" t="s">
        <v>13</v>
      </c>
      <c r="I225" s="3"/>
      <c r="J225" s="3" t="s">
        <v>11</v>
      </c>
      <c r="K225" s="71">
        <v>204</v>
      </c>
      <c r="L225" s="64"/>
      <c r="M225" s="47">
        <f t="shared" si="4"/>
        <v>0</v>
      </c>
      <c r="N225" s="45"/>
    </row>
    <row r="226" spans="2:14" ht="15" x14ac:dyDescent="0.3">
      <c r="B226" s="42" t="s">
        <v>1967</v>
      </c>
      <c r="C226" s="5" t="s">
        <v>1397</v>
      </c>
      <c r="D226" s="5">
        <v>8</v>
      </c>
      <c r="E226" s="51" t="s">
        <v>1574</v>
      </c>
      <c r="F226" s="3" t="s">
        <v>12</v>
      </c>
      <c r="G226" s="3" t="s">
        <v>1579</v>
      </c>
      <c r="H226" s="9" t="s">
        <v>13</v>
      </c>
      <c r="I226" s="3"/>
      <c r="J226" s="3" t="s">
        <v>11</v>
      </c>
      <c r="K226" s="74">
        <v>6</v>
      </c>
      <c r="L226" s="64"/>
      <c r="M226" s="47">
        <f t="shared" si="4"/>
        <v>0</v>
      </c>
      <c r="N226" s="45"/>
    </row>
    <row r="227" spans="2:14" ht="15" x14ac:dyDescent="0.3">
      <c r="B227" s="42" t="s">
        <v>1968</v>
      </c>
      <c r="C227" s="5" t="s">
        <v>1397</v>
      </c>
      <c r="D227" s="5">
        <v>8</v>
      </c>
      <c r="E227" s="51" t="s">
        <v>1573</v>
      </c>
      <c r="F227" s="3" t="s">
        <v>12</v>
      </c>
      <c r="G227" s="3" t="s">
        <v>1580</v>
      </c>
      <c r="H227" s="9" t="s">
        <v>13</v>
      </c>
      <c r="I227" s="3"/>
      <c r="J227" s="3" t="s">
        <v>11</v>
      </c>
      <c r="K227" s="74">
        <v>6</v>
      </c>
      <c r="L227" s="64"/>
      <c r="M227" s="47">
        <f t="shared" si="4"/>
        <v>0</v>
      </c>
      <c r="N227" s="45"/>
    </row>
    <row r="228" spans="2:14" ht="15" x14ac:dyDescent="0.3">
      <c r="B228" s="42" t="s">
        <v>1969</v>
      </c>
      <c r="C228" s="5" t="s">
        <v>1397</v>
      </c>
      <c r="D228" s="5">
        <v>8</v>
      </c>
      <c r="E228" s="51" t="s">
        <v>1547</v>
      </c>
      <c r="F228" s="3" t="s">
        <v>12</v>
      </c>
      <c r="G228" s="3" t="s">
        <v>1577</v>
      </c>
      <c r="H228" s="9" t="s">
        <v>13</v>
      </c>
      <c r="I228" s="3"/>
      <c r="J228" s="3" t="s">
        <v>11</v>
      </c>
      <c r="K228" s="74">
        <v>4</v>
      </c>
      <c r="L228" s="64"/>
      <c r="M228" s="47">
        <f t="shared" si="4"/>
        <v>0</v>
      </c>
      <c r="N228" s="45"/>
    </row>
    <row r="229" spans="2:14" ht="15" x14ac:dyDescent="0.3">
      <c r="B229" s="42" t="s">
        <v>1970</v>
      </c>
      <c r="C229" s="5" t="s">
        <v>1397</v>
      </c>
      <c r="D229" s="5">
        <v>8</v>
      </c>
      <c r="E229" s="51" t="s">
        <v>1575</v>
      </c>
      <c r="F229" s="3" t="s">
        <v>12</v>
      </c>
      <c r="G229" s="3" t="s">
        <v>1581</v>
      </c>
      <c r="H229" s="9" t="s">
        <v>13</v>
      </c>
      <c r="I229" s="3"/>
      <c r="J229" s="3" t="s">
        <v>11</v>
      </c>
      <c r="K229" s="74">
        <v>6</v>
      </c>
      <c r="L229" s="64"/>
      <c r="M229" s="47">
        <f t="shared" si="4"/>
        <v>0</v>
      </c>
      <c r="N229" s="45"/>
    </row>
    <row r="230" spans="2:14" ht="15" x14ac:dyDescent="0.3">
      <c r="B230" s="42" t="s">
        <v>1971</v>
      </c>
      <c r="C230" s="5" t="s">
        <v>1397</v>
      </c>
      <c r="D230" s="5">
        <v>8</v>
      </c>
      <c r="E230" s="53" t="s">
        <v>1642</v>
      </c>
      <c r="F230" s="3" t="s">
        <v>12</v>
      </c>
      <c r="G230" s="5" t="s">
        <v>1642</v>
      </c>
      <c r="H230" s="9" t="s">
        <v>13</v>
      </c>
      <c r="I230" s="3"/>
      <c r="J230" s="3" t="s">
        <v>11</v>
      </c>
      <c r="K230" s="71">
        <v>2</v>
      </c>
      <c r="L230" s="64"/>
      <c r="M230" s="47">
        <f t="shared" si="4"/>
        <v>0</v>
      </c>
      <c r="N230" s="45"/>
    </row>
    <row r="231" spans="2:14" ht="15" x14ac:dyDescent="0.3">
      <c r="B231" s="42" t="s">
        <v>1972</v>
      </c>
      <c r="C231" s="5" t="s">
        <v>1397</v>
      </c>
      <c r="D231" s="5">
        <v>8</v>
      </c>
      <c r="E231" s="53" t="s">
        <v>1644</v>
      </c>
      <c r="F231" s="3" t="s">
        <v>12</v>
      </c>
      <c r="G231" s="5" t="s">
        <v>1644</v>
      </c>
      <c r="H231" s="9" t="s">
        <v>13</v>
      </c>
      <c r="I231" s="3"/>
      <c r="J231" s="3" t="s">
        <v>11</v>
      </c>
      <c r="K231" s="71">
        <v>48</v>
      </c>
      <c r="L231" s="64"/>
      <c r="M231" s="47">
        <f t="shared" si="4"/>
        <v>0</v>
      </c>
      <c r="N231" s="45"/>
    </row>
    <row r="232" spans="2:14" ht="15" x14ac:dyDescent="0.3">
      <c r="B232" s="42" t="s">
        <v>1973</v>
      </c>
      <c r="C232" s="5" t="s">
        <v>1397</v>
      </c>
      <c r="D232" s="5">
        <v>8</v>
      </c>
      <c r="E232" s="51" t="s">
        <v>1576</v>
      </c>
      <c r="F232" s="3" t="s">
        <v>12</v>
      </c>
      <c r="G232" s="3" t="s">
        <v>1578</v>
      </c>
      <c r="H232" s="9" t="s">
        <v>13</v>
      </c>
      <c r="I232" s="3"/>
      <c r="J232" s="3" t="s">
        <v>11</v>
      </c>
      <c r="K232" s="74">
        <v>6</v>
      </c>
      <c r="L232" s="64"/>
      <c r="M232" s="47">
        <f t="shared" si="4"/>
        <v>0</v>
      </c>
      <c r="N232" s="45"/>
    </row>
    <row r="233" spans="2:14" ht="15" x14ac:dyDescent="0.3">
      <c r="B233" s="42" t="s">
        <v>1974</v>
      </c>
      <c r="C233" s="5" t="s">
        <v>1397</v>
      </c>
      <c r="D233" s="5">
        <v>8</v>
      </c>
      <c r="E233" s="53" t="s">
        <v>1556</v>
      </c>
      <c r="F233" s="3" t="s">
        <v>12</v>
      </c>
      <c r="G233" s="5" t="s">
        <v>1556</v>
      </c>
      <c r="H233" s="9" t="s">
        <v>13</v>
      </c>
      <c r="I233" s="3"/>
      <c r="J233" s="3" t="s">
        <v>11</v>
      </c>
      <c r="K233" s="71">
        <v>84</v>
      </c>
      <c r="L233" s="64"/>
      <c r="M233" s="47">
        <f t="shared" si="4"/>
        <v>0</v>
      </c>
      <c r="N233" s="45"/>
    </row>
    <row r="234" spans="2:14" x14ac:dyDescent="0.3">
      <c r="B234" s="42" t="s">
        <v>1993</v>
      </c>
      <c r="C234" s="5" t="s">
        <v>1401</v>
      </c>
      <c r="D234" s="5">
        <v>8</v>
      </c>
      <c r="E234" s="55" t="s">
        <v>1654</v>
      </c>
      <c r="F234" s="9" t="s">
        <v>12</v>
      </c>
      <c r="G234" s="9" t="s">
        <v>283</v>
      </c>
      <c r="H234" s="9" t="s">
        <v>13</v>
      </c>
      <c r="I234" s="46">
        <v>2000</v>
      </c>
      <c r="J234" s="9" t="s">
        <v>10</v>
      </c>
      <c r="K234" s="72">
        <v>10</v>
      </c>
      <c r="L234" s="62"/>
      <c r="M234" s="47">
        <f t="shared" ref="M234:M295" si="5">+K234*L234</f>
        <v>0</v>
      </c>
      <c r="N234" s="45"/>
    </row>
    <row r="235" spans="2:14" x14ac:dyDescent="0.3">
      <c r="B235" s="42" t="s">
        <v>2021</v>
      </c>
      <c r="C235" s="5" t="s">
        <v>1108</v>
      </c>
      <c r="D235" s="5">
        <v>8</v>
      </c>
      <c r="E235" s="41" t="s">
        <v>1751</v>
      </c>
      <c r="F235" s="3" t="s">
        <v>12</v>
      </c>
      <c r="G235" s="3" t="s">
        <v>1409</v>
      </c>
      <c r="H235" s="9" t="s">
        <v>13</v>
      </c>
      <c r="I235" s="3"/>
      <c r="J235" s="3"/>
      <c r="K235" s="72">
        <v>5</v>
      </c>
      <c r="L235" s="62"/>
      <c r="M235" s="47">
        <f t="shared" si="5"/>
        <v>0</v>
      </c>
      <c r="N235" s="45" t="s">
        <v>1436</v>
      </c>
    </row>
    <row r="236" spans="2:14" x14ac:dyDescent="0.3">
      <c r="B236" s="42" t="s">
        <v>2022</v>
      </c>
      <c r="C236" s="5" t="s">
        <v>1108</v>
      </c>
      <c r="D236" s="5">
        <v>8</v>
      </c>
      <c r="E236" s="41" t="s">
        <v>1786</v>
      </c>
      <c r="F236" s="3" t="s">
        <v>12</v>
      </c>
      <c r="G236" s="3" t="s">
        <v>1410</v>
      </c>
      <c r="H236" s="9" t="s">
        <v>13</v>
      </c>
      <c r="I236" s="3"/>
      <c r="J236" s="3"/>
      <c r="K236" s="72">
        <v>3</v>
      </c>
      <c r="L236" s="62"/>
      <c r="M236" s="47">
        <f t="shared" si="5"/>
        <v>0</v>
      </c>
      <c r="N236" s="45" t="s">
        <v>1628</v>
      </c>
    </row>
    <row r="237" spans="2:14" x14ac:dyDescent="0.3">
      <c r="B237" s="42" t="s">
        <v>2023</v>
      </c>
      <c r="C237" s="5" t="s">
        <v>1108</v>
      </c>
      <c r="D237" s="5">
        <v>8</v>
      </c>
      <c r="E237" s="41" t="s">
        <v>1752</v>
      </c>
      <c r="F237" s="3" t="s">
        <v>12</v>
      </c>
      <c r="G237" s="3" t="s">
        <v>1409</v>
      </c>
      <c r="H237" s="9" t="s">
        <v>13</v>
      </c>
      <c r="I237" s="3"/>
      <c r="J237" s="3"/>
      <c r="K237" s="72">
        <v>5</v>
      </c>
      <c r="L237" s="62"/>
      <c r="M237" s="47">
        <f t="shared" si="5"/>
        <v>0</v>
      </c>
      <c r="N237" s="45" t="s">
        <v>1437</v>
      </c>
    </row>
    <row r="238" spans="2:14" x14ac:dyDescent="0.3">
      <c r="B238" s="42" t="s">
        <v>2024</v>
      </c>
      <c r="C238" s="5" t="s">
        <v>1108</v>
      </c>
      <c r="D238" s="5">
        <v>8</v>
      </c>
      <c r="E238" s="41" t="s">
        <v>1785</v>
      </c>
      <c r="F238" s="3" t="s">
        <v>12</v>
      </c>
      <c r="G238" s="3" t="s">
        <v>1410</v>
      </c>
      <c r="H238" s="9" t="s">
        <v>13</v>
      </c>
      <c r="I238" s="3"/>
      <c r="J238" s="3"/>
      <c r="K238" s="72">
        <v>3</v>
      </c>
      <c r="L238" s="62"/>
      <c r="M238" s="47">
        <f t="shared" si="5"/>
        <v>0</v>
      </c>
      <c r="N238" s="45" t="s">
        <v>1673</v>
      </c>
    </row>
    <row r="239" spans="2:14" x14ac:dyDescent="0.3">
      <c r="B239" s="42" t="s">
        <v>2025</v>
      </c>
      <c r="C239" s="5" t="s">
        <v>1108</v>
      </c>
      <c r="D239" s="5">
        <v>8</v>
      </c>
      <c r="E239" s="41" t="s">
        <v>1753</v>
      </c>
      <c r="F239" s="3" t="s">
        <v>12</v>
      </c>
      <c r="G239" s="3" t="s">
        <v>1409</v>
      </c>
      <c r="H239" s="9" t="s">
        <v>13</v>
      </c>
      <c r="I239" s="3"/>
      <c r="J239" s="3"/>
      <c r="K239" s="72">
        <v>5</v>
      </c>
      <c r="L239" s="62"/>
      <c r="M239" s="47">
        <f t="shared" si="5"/>
        <v>0</v>
      </c>
      <c r="N239" s="45" t="s">
        <v>1438</v>
      </c>
    </row>
    <row r="240" spans="2:14" x14ac:dyDescent="0.3">
      <c r="B240" s="42" t="s">
        <v>2026</v>
      </c>
      <c r="C240" s="5" t="s">
        <v>1108</v>
      </c>
      <c r="D240" s="5">
        <v>8</v>
      </c>
      <c r="E240" s="41" t="s">
        <v>1784</v>
      </c>
      <c r="F240" s="3" t="s">
        <v>12</v>
      </c>
      <c r="G240" s="3" t="s">
        <v>1410</v>
      </c>
      <c r="H240" s="9" t="s">
        <v>13</v>
      </c>
      <c r="I240" s="3"/>
      <c r="J240" s="3"/>
      <c r="K240" s="72">
        <v>3</v>
      </c>
      <c r="L240" s="62"/>
      <c r="M240" s="47">
        <f t="shared" si="5"/>
        <v>0</v>
      </c>
      <c r="N240" s="45" t="s">
        <v>1731</v>
      </c>
    </row>
    <row r="241" spans="2:14" x14ac:dyDescent="0.3">
      <c r="B241" s="42" t="s">
        <v>2027</v>
      </c>
      <c r="C241" s="5" t="s">
        <v>1108</v>
      </c>
      <c r="D241" s="5">
        <v>8</v>
      </c>
      <c r="E241" s="41" t="s">
        <v>1750</v>
      </c>
      <c r="F241" s="3" t="s">
        <v>12</v>
      </c>
      <c r="G241" s="3" t="s">
        <v>1409</v>
      </c>
      <c r="H241" s="9" t="s">
        <v>13</v>
      </c>
      <c r="I241" s="3"/>
      <c r="J241" s="3"/>
      <c r="K241" s="72">
        <v>9</v>
      </c>
      <c r="L241" s="62"/>
      <c r="M241" s="47">
        <f t="shared" si="5"/>
        <v>0</v>
      </c>
      <c r="N241" s="45" t="s">
        <v>1435</v>
      </c>
    </row>
    <row r="242" spans="2:14" x14ac:dyDescent="0.3">
      <c r="B242" s="42" t="s">
        <v>2028</v>
      </c>
      <c r="C242" s="5" t="s">
        <v>1108</v>
      </c>
      <c r="D242" s="5">
        <v>8</v>
      </c>
      <c r="E242" s="41" t="s">
        <v>1783</v>
      </c>
      <c r="F242" s="3" t="s">
        <v>12</v>
      </c>
      <c r="G242" s="3" t="s">
        <v>1410</v>
      </c>
      <c r="H242" s="9" t="s">
        <v>13</v>
      </c>
      <c r="I242" s="3"/>
      <c r="J242" s="3"/>
      <c r="K242" s="72">
        <v>3</v>
      </c>
      <c r="L242" s="62"/>
      <c r="M242" s="47">
        <f t="shared" si="5"/>
        <v>0</v>
      </c>
      <c r="N242" s="45" t="s">
        <v>1682</v>
      </c>
    </row>
    <row r="243" spans="2:14" x14ac:dyDescent="0.3">
      <c r="B243" s="67" t="s">
        <v>2076</v>
      </c>
      <c r="C243" s="5" t="s">
        <v>1241</v>
      </c>
      <c r="D243" s="5">
        <v>8</v>
      </c>
      <c r="E243" s="41" t="s">
        <v>1633</v>
      </c>
      <c r="F243" s="3" t="s">
        <v>12</v>
      </c>
      <c r="G243" s="3" t="s">
        <v>1595</v>
      </c>
      <c r="H243" s="9" t="s">
        <v>13</v>
      </c>
      <c r="I243" s="9">
        <v>860</v>
      </c>
      <c r="J243" s="3" t="s">
        <v>10</v>
      </c>
      <c r="K243" s="72">
        <v>1</v>
      </c>
      <c r="L243" s="62"/>
      <c r="M243" s="47">
        <f t="shared" si="5"/>
        <v>0</v>
      </c>
      <c r="N243" s="45"/>
    </row>
    <row r="244" spans="2:14" x14ac:dyDescent="0.3">
      <c r="B244" s="67" t="s">
        <v>2077</v>
      </c>
      <c r="C244" s="5" t="s">
        <v>1241</v>
      </c>
      <c r="D244" s="5">
        <v>8</v>
      </c>
      <c r="E244" s="41" t="s">
        <v>1455</v>
      </c>
      <c r="F244" s="3" t="s">
        <v>12</v>
      </c>
      <c r="G244" s="3" t="s">
        <v>1456</v>
      </c>
      <c r="H244" s="9" t="s">
        <v>13</v>
      </c>
      <c r="I244" s="46">
        <v>2000</v>
      </c>
      <c r="J244" s="3" t="s">
        <v>10</v>
      </c>
      <c r="K244" s="72">
        <v>7</v>
      </c>
      <c r="L244" s="62"/>
      <c r="M244" s="47">
        <f t="shared" si="5"/>
        <v>0</v>
      </c>
      <c r="N244" s="45"/>
    </row>
    <row r="245" spans="2:14" x14ac:dyDescent="0.3">
      <c r="B245" s="67" t="s">
        <v>2115</v>
      </c>
      <c r="C245" s="54" t="s">
        <v>1312</v>
      </c>
      <c r="D245" s="54">
        <v>8</v>
      </c>
      <c r="E245" s="50" t="s">
        <v>1624</v>
      </c>
      <c r="F245" s="54" t="s">
        <v>12</v>
      </c>
      <c r="G245" s="54" t="s">
        <v>1625</v>
      </c>
      <c r="H245" s="54" t="s">
        <v>13</v>
      </c>
      <c r="I245" s="60">
        <v>50000</v>
      </c>
      <c r="J245" s="54" t="s">
        <v>686</v>
      </c>
      <c r="K245" s="73">
        <v>1</v>
      </c>
      <c r="L245" s="65"/>
      <c r="M245" s="47">
        <f t="shared" si="5"/>
        <v>0</v>
      </c>
      <c r="N245" s="45"/>
    </row>
    <row r="246" spans="2:14" x14ac:dyDescent="0.3">
      <c r="B246" s="67" t="s">
        <v>2116</v>
      </c>
      <c r="C246" s="54" t="s">
        <v>1312</v>
      </c>
      <c r="D246" s="54">
        <v>8</v>
      </c>
      <c r="E246" s="50" t="s">
        <v>1709</v>
      </c>
      <c r="F246" s="54" t="s">
        <v>12</v>
      </c>
      <c r="G246" s="54" t="s">
        <v>1493</v>
      </c>
      <c r="H246" s="54" t="s">
        <v>13</v>
      </c>
      <c r="I246" s="54">
        <v>900</v>
      </c>
      <c r="J246" s="54" t="s">
        <v>10</v>
      </c>
      <c r="K246" s="73">
        <v>12</v>
      </c>
      <c r="L246" s="65"/>
      <c r="M246" s="47">
        <f t="shared" si="5"/>
        <v>0</v>
      </c>
      <c r="N246" s="45"/>
    </row>
    <row r="247" spans="2:14" x14ac:dyDescent="0.3">
      <c r="B247" s="67" t="s">
        <v>2117</v>
      </c>
      <c r="C247" s="54" t="s">
        <v>1312</v>
      </c>
      <c r="D247" s="54">
        <v>8</v>
      </c>
      <c r="E247" s="50" t="s">
        <v>1707</v>
      </c>
      <c r="F247" s="54" t="s">
        <v>12</v>
      </c>
      <c r="G247" s="54" t="s">
        <v>1598</v>
      </c>
      <c r="H247" s="54" t="s">
        <v>13</v>
      </c>
      <c r="I247" s="54">
        <v>400</v>
      </c>
      <c r="J247" s="54" t="s">
        <v>10</v>
      </c>
      <c r="K247" s="73">
        <v>4</v>
      </c>
      <c r="L247" s="65"/>
      <c r="M247" s="47">
        <f t="shared" si="5"/>
        <v>0</v>
      </c>
      <c r="N247" s="45"/>
    </row>
    <row r="248" spans="2:14" x14ac:dyDescent="0.3">
      <c r="B248" s="67" t="s">
        <v>2118</v>
      </c>
      <c r="C248" s="54" t="s">
        <v>1312</v>
      </c>
      <c r="D248" s="54">
        <v>8</v>
      </c>
      <c r="E248" s="50" t="s">
        <v>1708</v>
      </c>
      <c r="F248" s="54" t="s">
        <v>12</v>
      </c>
      <c r="G248" s="54" t="s">
        <v>1598</v>
      </c>
      <c r="H248" s="54" t="s">
        <v>13</v>
      </c>
      <c r="I248" s="54">
        <v>250</v>
      </c>
      <c r="J248" s="54" t="s">
        <v>10</v>
      </c>
      <c r="K248" s="73">
        <v>4</v>
      </c>
      <c r="L248" s="65"/>
      <c r="M248" s="47">
        <f t="shared" si="5"/>
        <v>0</v>
      </c>
      <c r="N248" s="45"/>
    </row>
    <row r="249" spans="2:14" x14ac:dyDescent="0.3">
      <c r="B249" s="67" t="s">
        <v>2119</v>
      </c>
      <c r="C249" s="54" t="s">
        <v>1312</v>
      </c>
      <c r="D249" s="54">
        <v>8</v>
      </c>
      <c r="E249" s="50" t="s">
        <v>1710</v>
      </c>
      <c r="F249" s="54" t="s">
        <v>12</v>
      </c>
      <c r="G249" s="54" t="s">
        <v>1494</v>
      </c>
      <c r="H249" s="54" t="s">
        <v>13</v>
      </c>
      <c r="I249" s="54" t="s">
        <v>686</v>
      </c>
      <c r="J249" s="54" t="s">
        <v>10</v>
      </c>
      <c r="K249" s="73">
        <v>3</v>
      </c>
      <c r="L249" s="65"/>
      <c r="M249" s="47">
        <f t="shared" si="5"/>
        <v>0</v>
      </c>
      <c r="N249" s="45"/>
    </row>
    <row r="250" spans="2:14" x14ac:dyDescent="0.3">
      <c r="B250" s="67" t="s">
        <v>2120</v>
      </c>
      <c r="C250" s="54" t="s">
        <v>1312</v>
      </c>
      <c r="D250" s="54">
        <v>8</v>
      </c>
      <c r="E250" s="50" t="s">
        <v>1711</v>
      </c>
      <c r="F250" s="54" t="s">
        <v>12</v>
      </c>
      <c r="G250" s="54" t="s">
        <v>1494</v>
      </c>
      <c r="H250" s="54" t="s">
        <v>13</v>
      </c>
      <c r="I250" s="54" t="s">
        <v>686</v>
      </c>
      <c r="J250" s="54" t="s">
        <v>10</v>
      </c>
      <c r="K250" s="73">
        <v>4</v>
      </c>
      <c r="L250" s="65"/>
      <c r="M250" s="47">
        <f t="shared" si="5"/>
        <v>0</v>
      </c>
      <c r="N250" s="45"/>
    </row>
    <row r="251" spans="2:14" x14ac:dyDescent="0.3">
      <c r="B251" s="67" t="s">
        <v>2121</v>
      </c>
      <c r="C251" s="54" t="s">
        <v>1312</v>
      </c>
      <c r="D251" s="54">
        <v>8</v>
      </c>
      <c r="E251" s="50" t="s">
        <v>1712</v>
      </c>
      <c r="F251" s="54" t="s">
        <v>12</v>
      </c>
      <c r="G251" s="54" t="s">
        <v>1495</v>
      </c>
      <c r="H251" s="54" t="s">
        <v>13</v>
      </c>
      <c r="I251" s="54">
        <v>900</v>
      </c>
      <c r="J251" s="54" t="s">
        <v>10</v>
      </c>
      <c r="K251" s="73">
        <v>6</v>
      </c>
      <c r="L251" s="65"/>
      <c r="M251" s="47">
        <f t="shared" si="5"/>
        <v>0</v>
      </c>
      <c r="N251" s="45"/>
    </row>
    <row r="252" spans="2:14" x14ac:dyDescent="0.3">
      <c r="B252" s="67" t="s">
        <v>2122</v>
      </c>
      <c r="C252" s="54" t="s">
        <v>1312</v>
      </c>
      <c r="D252" s="54">
        <v>8</v>
      </c>
      <c r="E252" s="50" t="s">
        <v>1713</v>
      </c>
      <c r="F252" s="54" t="s">
        <v>12</v>
      </c>
      <c r="G252" s="54" t="s">
        <v>1496</v>
      </c>
      <c r="H252" s="54" t="s">
        <v>13</v>
      </c>
      <c r="I252" s="54">
        <v>250</v>
      </c>
      <c r="J252" s="54" t="s">
        <v>10</v>
      </c>
      <c r="K252" s="73">
        <v>2</v>
      </c>
      <c r="L252" s="65"/>
      <c r="M252" s="47">
        <f t="shared" si="5"/>
        <v>0</v>
      </c>
      <c r="N252" s="45"/>
    </row>
    <row r="253" spans="2:14" x14ac:dyDescent="0.3">
      <c r="B253" s="67" t="s">
        <v>2123</v>
      </c>
      <c r="C253" s="54" t="s">
        <v>1312</v>
      </c>
      <c r="D253" s="54">
        <v>8</v>
      </c>
      <c r="E253" s="50" t="s">
        <v>1714</v>
      </c>
      <c r="F253" s="54" t="s">
        <v>12</v>
      </c>
      <c r="G253" s="54" t="s">
        <v>1496</v>
      </c>
      <c r="H253" s="54" t="s">
        <v>13</v>
      </c>
      <c r="I253" s="54">
        <v>400</v>
      </c>
      <c r="J253" s="54" t="s">
        <v>10</v>
      </c>
      <c r="K253" s="73">
        <v>2</v>
      </c>
      <c r="L253" s="65"/>
      <c r="M253" s="47">
        <f t="shared" si="5"/>
        <v>0</v>
      </c>
      <c r="N253" s="45"/>
    </row>
    <row r="254" spans="2:14" s="35" customFormat="1" x14ac:dyDescent="0.3">
      <c r="B254" s="67" t="s">
        <v>2124</v>
      </c>
      <c r="C254" s="54" t="s">
        <v>1312</v>
      </c>
      <c r="D254" s="54">
        <v>8</v>
      </c>
      <c r="E254" s="50" t="s">
        <v>1549</v>
      </c>
      <c r="F254" s="54" t="s">
        <v>12</v>
      </c>
      <c r="G254" s="54" t="s">
        <v>1516</v>
      </c>
      <c r="H254" s="54" t="s">
        <v>13</v>
      </c>
      <c r="I254" s="36">
        <v>1500</v>
      </c>
      <c r="J254" s="54" t="s">
        <v>11</v>
      </c>
      <c r="K254" s="73">
        <v>93</v>
      </c>
      <c r="L254" s="65"/>
      <c r="M254" s="47">
        <f t="shared" si="5"/>
        <v>0</v>
      </c>
      <c r="N254" s="45"/>
    </row>
    <row r="255" spans="2:14" x14ac:dyDescent="0.3">
      <c r="B255" s="67" t="s">
        <v>2125</v>
      </c>
      <c r="C255" s="54" t="s">
        <v>1312</v>
      </c>
      <c r="D255" s="54">
        <v>8</v>
      </c>
      <c r="E255" s="50" t="s">
        <v>1681</v>
      </c>
      <c r="F255" s="54" t="s">
        <v>12</v>
      </c>
      <c r="G255" s="54" t="s">
        <v>1518</v>
      </c>
      <c r="H255" s="54" t="s">
        <v>13</v>
      </c>
      <c r="I255" s="36">
        <v>2000</v>
      </c>
      <c r="J255" s="54" t="s">
        <v>10</v>
      </c>
      <c r="K255" s="73">
        <v>1</v>
      </c>
      <c r="L255" s="65"/>
      <c r="M255" s="47">
        <f t="shared" si="5"/>
        <v>0</v>
      </c>
      <c r="N255" s="45"/>
    </row>
    <row r="256" spans="2:14" x14ac:dyDescent="0.3">
      <c r="B256" s="67" t="s">
        <v>2126</v>
      </c>
      <c r="C256" s="54" t="s">
        <v>1312</v>
      </c>
      <c r="D256" s="54">
        <v>8</v>
      </c>
      <c r="E256" s="50" t="s">
        <v>1699</v>
      </c>
      <c r="F256" s="54" t="s">
        <v>12</v>
      </c>
      <c r="G256" s="54" t="s">
        <v>1518</v>
      </c>
      <c r="H256" s="54" t="s">
        <v>13</v>
      </c>
      <c r="I256" s="36">
        <v>2000</v>
      </c>
      <c r="J256" s="54" t="s">
        <v>10</v>
      </c>
      <c r="K256" s="73">
        <v>1</v>
      </c>
      <c r="L256" s="65"/>
      <c r="M256" s="47">
        <f t="shared" si="5"/>
        <v>0</v>
      </c>
      <c r="N256" s="45"/>
    </row>
    <row r="257" spans="2:14" x14ac:dyDescent="0.3">
      <c r="B257" s="67" t="s">
        <v>2127</v>
      </c>
      <c r="C257" s="54" t="s">
        <v>1312</v>
      </c>
      <c r="D257" s="54">
        <v>8</v>
      </c>
      <c r="E257" s="50" t="s">
        <v>1694</v>
      </c>
      <c r="F257" s="54" t="s">
        <v>12</v>
      </c>
      <c r="G257" s="54" t="s">
        <v>1518</v>
      </c>
      <c r="H257" s="54" t="s">
        <v>13</v>
      </c>
      <c r="I257" s="36">
        <v>2000</v>
      </c>
      <c r="J257" s="54" t="s">
        <v>10</v>
      </c>
      <c r="K257" s="73">
        <v>1</v>
      </c>
      <c r="L257" s="65"/>
      <c r="M257" s="47">
        <f t="shared" si="5"/>
        <v>0</v>
      </c>
      <c r="N257" s="45"/>
    </row>
    <row r="258" spans="2:14" x14ac:dyDescent="0.3">
      <c r="B258" s="42" t="s">
        <v>2128</v>
      </c>
      <c r="C258" s="54" t="s">
        <v>1312</v>
      </c>
      <c r="D258" s="54">
        <v>8</v>
      </c>
      <c r="E258" s="50" t="s">
        <v>1667</v>
      </c>
      <c r="F258" s="54" t="s">
        <v>12</v>
      </c>
      <c r="G258" s="54" t="s">
        <v>1518</v>
      </c>
      <c r="H258" s="54" t="s">
        <v>13</v>
      </c>
      <c r="I258" s="60">
        <v>3000</v>
      </c>
      <c r="J258" s="54" t="s">
        <v>10</v>
      </c>
      <c r="K258" s="73">
        <v>1</v>
      </c>
      <c r="L258" s="65"/>
      <c r="M258" s="47">
        <f t="shared" si="5"/>
        <v>0</v>
      </c>
      <c r="N258" s="45"/>
    </row>
    <row r="259" spans="2:14" x14ac:dyDescent="0.3">
      <c r="B259" s="42" t="s">
        <v>2129</v>
      </c>
      <c r="C259" s="54" t="s">
        <v>1312</v>
      </c>
      <c r="D259" s="54">
        <v>8</v>
      </c>
      <c r="E259" s="50" t="s">
        <v>1680</v>
      </c>
      <c r="F259" s="54" t="s">
        <v>12</v>
      </c>
      <c r="G259" s="54" t="s">
        <v>1626</v>
      </c>
      <c r="H259" s="54" t="s">
        <v>13</v>
      </c>
      <c r="I259" s="60">
        <v>9000</v>
      </c>
      <c r="J259" s="54" t="s">
        <v>10</v>
      </c>
      <c r="K259" s="73">
        <v>4</v>
      </c>
      <c r="L259" s="65"/>
      <c r="M259" s="47">
        <f t="shared" si="5"/>
        <v>0</v>
      </c>
      <c r="N259" s="45"/>
    </row>
    <row r="260" spans="2:14" x14ac:dyDescent="0.3">
      <c r="B260" s="42" t="s">
        <v>2130</v>
      </c>
      <c r="C260" s="54" t="s">
        <v>1312</v>
      </c>
      <c r="D260" s="54">
        <v>8</v>
      </c>
      <c r="E260" s="50" t="s">
        <v>1698</v>
      </c>
      <c r="F260" s="54" t="s">
        <v>12</v>
      </c>
      <c r="G260" s="54" t="s">
        <v>1626</v>
      </c>
      <c r="H260" s="54" t="s">
        <v>13</v>
      </c>
      <c r="I260" s="60">
        <v>9000</v>
      </c>
      <c r="J260" s="54" t="s">
        <v>10</v>
      </c>
      <c r="K260" s="73">
        <v>8</v>
      </c>
      <c r="L260" s="65"/>
      <c r="M260" s="47">
        <f t="shared" si="5"/>
        <v>0</v>
      </c>
      <c r="N260" s="45"/>
    </row>
    <row r="261" spans="2:14" x14ac:dyDescent="0.3">
      <c r="B261" s="42" t="s">
        <v>2131</v>
      </c>
      <c r="C261" s="54" t="s">
        <v>1312</v>
      </c>
      <c r="D261" s="54">
        <v>8</v>
      </c>
      <c r="E261" s="50" t="s">
        <v>1693</v>
      </c>
      <c r="F261" s="54" t="s">
        <v>12</v>
      </c>
      <c r="G261" s="54" t="s">
        <v>1626</v>
      </c>
      <c r="H261" s="54" t="s">
        <v>13</v>
      </c>
      <c r="I261" s="60">
        <v>9000</v>
      </c>
      <c r="J261" s="54" t="s">
        <v>10</v>
      </c>
      <c r="K261" s="73">
        <v>2</v>
      </c>
      <c r="L261" s="65"/>
      <c r="M261" s="47">
        <f t="shared" si="5"/>
        <v>0</v>
      </c>
      <c r="N261" s="45"/>
    </row>
    <row r="262" spans="2:14" x14ac:dyDescent="0.3">
      <c r="B262" s="42" t="s">
        <v>2132</v>
      </c>
      <c r="C262" s="54" t="s">
        <v>1312</v>
      </c>
      <c r="D262" s="54">
        <v>8</v>
      </c>
      <c r="E262" s="50" t="s">
        <v>1666</v>
      </c>
      <c r="F262" s="54" t="s">
        <v>12</v>
      </c>
      <c r="G262" s="54" t="s">
        <v>1626</v>
      </c>
      <c r="H262" s="54" t="s">
        <v>13</v>
      </c>
      <c r="I262" s="60">
        <v>12000</v>
      </c>
      <c r="J262" s="54" t="s">
        <v>10</v>
      </c>
      <c r="K262" s="73">
        <v>8</v>
      </c>
      <c r="L262" s="65"/>
      <c r="M262" s="47">
        <f t="shared" si="5"/>
        <v>0</v>
      </c>
      <c r="N262" s="45"/>
    </row>
    <row r="263" spans="2:14" x14ac:dyDescent="0.3">
      <c r="B263" s="42" t="s">
        <v>2133</v>
      </c>
      <c r="C263" s="54" t="s">
        <v>1312</v>
      </c>
      <c r="D263" s="54">
        <v>8</v>
      </c>
      <c r="E263" s="50" t="s">
        <v>1559</v>
      </c>
      <c r="F263" s="54" t="s">
        <v>12</v>
      </c>
      <c r="G263" s="54" t="s">
        <v>1517</v>
      </c>
      <c r="H263" s="54" t="s">
        <v>13</v>
      </c>
      <c r="I263" s="60">
        <v>9000</v>
      </c>
      <c r="J263" s="54" t="s">
        <v>10</v>
      </c>
      <c r="K263" s="73">
        <v>6</v>
      </c>
      <c r="L263" s="65"/>
      <c r="M263" s="47">
        <f t="shared" si="5"/>
        <v>0</v>
      </c>
      <c r="N263" s="45"/>
    </row>
    <row r="264" spans="2:14" x14ac:dyDescent="0.3">
      <c r="B264" s="42" t="s">
        <v>2168</v>
      </c>
      <c r="C264" s="5" t="s">
        <v>1313</v>
      </c>
      <c r="D264" s="5">
        <v>8</v>
      </c>
      <c r="E264" s="41" t="s">
        <v>1539</v>
      </c>
      <c r="F264" s="3" t="s">
        <v>12</v>
      </c>
      <c r="G264" s="3" t="s">
        <v>1535</v>
      </c>
      <c r="H264" s="9" t="s">
        <v>13</v>
      </c>
      <c r="I264" s="36"/>
      <c r="J264" s="3" t="s">
        <v>10</v>
      </c>
      <c r="K264" s="72">
        <v>100</v>
      </c>
      <c r="L264" s="62"/>
      <c r="M264" s="47">
        <f t="shared" si="5"/>
        <v>0</v>
      </c>
      <c r="N264" s="45"/>
    </row>
    <row r="265" spans="2:14" x14ac:dyDescent="0.3">
      <c r="B265" s="42" t="s">
        <v>2169</v>
      </c>
      <c r="C265" s="5" t="s">
        <v>1313</v>
      </c>
      <c r="D265" s="5">
        <v>8</v>
      </c>
      <c r="E265" s="41" t="s">
        <v>1538</v>
      </c>
      <c r="F265" s="3" t="s">
        <v>12</v>
      </c>
      <c r="G265" s="3" t="s">
        <v>1534</v>
      </c>
      <c r="H265" s="9" t="s">
        <v>13</v>
      </c>
      <c r="I265" s="36"/>
      <c r="J265" s="3" t="s">
        <v>10</v>
      </c>
      <c r="K265" s="72">
        <v>50</v>
      </c>
      <c r="L265" s="62"/>
      <c r="M265" s="47">
        <f t="shared" si="5"/>
        <v>0</v>
      </c>
      <c r="N265" s="45"/>
    </row>
    <row r="266" spans="2:14" x14ac:dyDescent="0.3">
      <c r="B266" s="42" t="s">
        <v>2170</v>
      </c>
      <c r="C266" s="5" t="s">
        <v>1313</v>
      </c>
      <c r="D266" s="5">
        <v>8</v>
      </c>
      <c r="E266" s="41" t="s">
        <v>1754</v>
      </c>
      <c r="F266" s="3" t="s">
        <v>12</v>
      </c>
      <c r="G266" s="3" t="s">
        <v>1532</v>
      </c>
      <c r="H266" s="9" t="s">
        <v>13</v>
      </c>
      <c r="I266" s="36"/>
      <c r="J266" s="3" t="s">
        <v>685</v>
      </c>
      <c r="K266" s="72">
        <v>200</v>
      </c>
      <c r="L266" s="62"/>
      <c r="M266" s="47">
        <f t="shared" si="5"/>
        <v>0</v>
      </c>
      <c r="N266" s="45"/>
    </row>
    <row r="267" spans="2:14" x14ac:dyDescent="0.3">
      <c r="B267" s="42" t="s">
        <v>2171</v>
      </c>
      <c r="C267" s="5" t="s">
        <v>1313</v>
      </c>
      <c r="D267" s="5">
        <v>8</v>
      </c>
      <c r="E267" s="41" t="s">
        <v>1537</v>
      </c>
      <c r="F267" s="3" t="s">
        <v>12</v>
      </c>
      <c r="G267" s="3" t="s">
        <v>1533</v>
      </c>
      <c r="H267" s="9" t="s">
        <v>13</v>
      </c>
      <c r="I267" s="36"/>
      <c r="J267" s="3" t="s">
        <v>10</v>
      </c>
      <c r="K267" s="72">
        <v>30</v>
      </c>
      <c r="L267" s="62"/>
      <c r="M267" s="47">
        <f t="shared" si="5"/>
        <v>0</v>
      </c>
      <c r="N267" s="45"/>
    </row>
    <row r="268" spans="2:14" x14ac:dyDescent="0.3">
      <c r="B268" s="42" t="s">
        <v>603</v>
      </c>
      <c r="C268" s="5" t="s">
        <v>234</v>
      </c>
      <c r="D268" s="5">
        <v>8</v>
      </c>
      <c r="E268" s="41" t="s">
        <v>932</v>
      </c>
      <c r="F268" s="3" t="s">
        <v>12</v>
      </c>
      <c r="G268" s="3" t="s">
        <v>253</v>
      </c>
      <c r="H268" s="9" t="s">
        <v>13</v>
      </c>
      <c r="I268" s="46">
        <v>18000</v>
      </c>
      <c r="J268" s="3" t="s">
        <v>10</v>
      </c>
      <c r="K268" s="72">
        <v>4</v>
      </c>
      <c r="L268" s="62"/>
      <c r="M268" s="47">
        <f t="shared" si="5"/>
        <v>0</v>
      </c>
      <c r="N268" s="45"/>
    </row>
    <row r="269" spans="2:14" x14ac:dyDescent="0.3">
      <c r="B269" s="42" t="s">
        <v>595</v>
      </c>
      <c r="C269" s="5" t="s">
        <v>234</v>
      </c>
      <c r="D269" s="5">
        <v>8</v>
      </c>
      <c r="E269" s="41" t="s">
        <v>924</v>
      </c>
      <c r="F269" s="3" t="s">
        <v>12</v>
      </c>
      <c r="G269" s="3" t="s">
        <v>257</v>
      </c>
      <c r="H269" s="9" t="s">
        <v>236</v>
      </c>
      <c r="I269" s="9">
        <v>800</v>
      </c>
      <c r="J269" s="3" t="s">
        <v>10</v>
      </c>
      <c r="K269" s="72">
        <v>2</v>
      </c>
      <c r="L269" s="62"/>
      <c r="M269" s="47">
        <f t="shared" si="5"/>
        <v>0</v>
      </c>
      <c r="N269" s="45"/>
    </row>
    <row r="270" spans="2:14" x14ac:dyDescent="0.3">
      <c r="B270" s="42" t="s">
        <v>596</v>
      </c>
      <c r="C270" s="5" t="s">
        <v>234</v>
      </c>
      <c r="D270" s="5">
        <v>8</v>
      </c>
      <c r="E270" s="41" t="s">
        <v>925</v>
      </c>
      <c r="F270" s="3" t="s">
        <v>12</v>
      </c>
      <c r="G270" s="3" t="s">
        <v>257</v>
      </c>
      <c r="H270" s="9" t="s">
        <v>236</v>
      </c>
      <c r="I270" s="9">
        <v>800</v>
      </c>
      <c r="J270" s="3" t="s">
        <v>10</v>
      </c>
      <c r="K270" s="72">
        <v>2</v>
      </c>
      <c r="L270" s="62"/>
      <c r="M270" s="47">
        <f t="shared" si="5"/>
        <v>0</v>
      </c>
      <c r="N270" s="45"/>
    </row>
    <row r="271" spans="2:14" x14ac:dyDescent="0.3">
      <c r="B271" s="42" t="s">
        <v>597</v>
      </c>
      <c r="C271" s="5" t="s">
        <v>234</v>
      </c>
      <c r="D271" s="5">
        <v>8</v>
      </c>
      <c r="E271" s="41" t="s">
        <v>926</v>
      </c>
      <c r="F271" s="3" t="s">
        <v>12</v>
      </c>
      <c r="G271" s="3" t="s">
        <v>257</v>
      </c>
      <c r="H271" s="9" t="s">
        <v>236</v>
      </c>
      <c r="I271" s="9">
        <v>800</v>
      </c>
      <c r="J271" s="3" t="s">
        <v>10</v>
      </c>
      <c r="K271" s="72">
        <v>2</v>
      </c>
      <c r="L271" s="62"/>
      <c r="M271" s="47">
        <f t="shared" si="5"/>
        <v>0</v>
      </c>
      <c r="N271" s="45"/>
    </row>
    <row r="272" spans="2:14" x14ac:dyDescent="0.3">
      <c r="B272" s="42" t="s">
        <v>598</v>
      </c>
      <c r="C272" s="5" t="s">
        <v>234</v>
      </c>
      <c r="D272" s="5">
        <v>8</v>
      </c>
      <c r="E272" s="41" t="s">
        <v>927</v>
      </c>
      <c r="F272" s="3" t="s">
        <v>12</v>
      </c>
      <c r="G272" s="3" t="s">
        <v>257</v>
      </c>
      <c r="H272" s="9" t="s">
        <v>236</v>
      </c>
      <c r="I272" s="9">
        <v>850</v>
      </c>
      <c r="J272" s="3" t="s">
        <v>10</v>
      </c>
      <c r="K272" s="72">
        <v>2</v>
      </c>
      <c r="L272" s="62"/>
      <c r="M272" s="47">
        <f t="shared" si="5"/>
        <v>0</v>
      </c>
      <c r="N272" s="45"/>
    </row>
    <row r="273" spans="2:14" x14ac:dyDescent="0.3">
      <c r="B273" s="42" t="s">
        <v>613</v>
      </c>
      <c r="C273" s="5" t="s">
        <v>234</v>
      </c>
      <c r="D273" s="5">
        <v>8</v>
      </c>
      <c r="E273" s="41" t="s">
        <v>942</v>
      </c>
      <c r="F273" s="3" t="s">
        <v>12</v>
      </c>
      <c r="G273" s="3" t="s">
        <v>255</v>
      </c>
      <c r="H273" s="9" t="s">
        <v>13</v>
      </c>
      <c r="I273" s="46">
        <v>2200</v>
      </c>
      <c r="J273" s="3" t="s">
        <v>10</v>
      </c>
      <c r="K273" s="72">
        <v>1</v>
      </c>
      <c r="L273" s="62"/>
      <c r="M273" s="47">
        <f t="shared" si="5"/>
        <v>0</v>
      </c>
      <c r="N273" s="45"/>
    </row>
    <row r="274" spans="2:14" x14ac:dyDescent="0.3">
      <c r="B274" s="42" t="s">
        <v>606</v>
      </c>
      <c r="C274" s="5" t="s">
        <v>234</v>
      </c>
      <c r="D274" s="5">
        <v>8</v>
      </c>
      <c r="E274" s="41" t="s">
        <v>935</v>
      </c>
      <c r="F274" s="3" t="s">
        <v>12</v>
      </c>
      <c r="G274" s="3" t="s">
        <v>256</v>
      </c>
      <c r="H274" s="9" t="s">
        <v>13</v>
      </c>
      <c r="I274" s="9">
        <v>330</v>
      </c>
      <c r="J274" s="3" t="s">
        <v>10</v>
      </c>
      <c r="K274" s="72">
        <v>1</v>
      </c>
      <c r="L274" s="62"/>
      <c r="M274" s="47">
        <f t="shared" si="5"/>
        <v>0</v>
      </c>
      <c r="N274" s="45"/>
    </row>
    <row r="275" spans="2:14" x14ac:dyDescent="0.3">
      <c r="B275" s="42" t="s">
        <v>607</v>
      </c>
      <c r="C275" s="5" t="s">
        <v>234</v>
      </c>
      <c r="D275" s="5">
        <v>8</v>
      </c>
      <c r="E275" s="41" t="s">
        <v>936</v>
      </c>
      <c r="F275" s="3" t="s">
        <v>12</v>
      </c>
      <c r="G275" s="3" t="s">
        <v>256</v>
      </c>
      <c r="H275" s="9" t="s">
        <v>13</v>
      </c>
      <c r="I275" s="9">
        <v>480</v>
      </c>
      <c r="J275" s="3" t="s">
        <v>10</v>
      </c>
      <c r="K275" s="72">
        <v>1</v>
      </c>
      <c r="L275" s="62"/>
      <c r="M275" s="47">
        <f t="shared" si="5"/>
        <v>0</v>
      </c>
      <c r="N275" s="56"/>
    </row>
    <row r="276" spans="2:14" x14ac:dyDescent="0.3">
      <c r="B276" s="42" t="s">
        <v>608</v>
      </c>
      <c r="C276" s="5" t="s">
        <v>234</v>
      </c>
      <c r="D276" s="5">
        <v>8</v>
      </c>
      <c r="E276" s="41" t="s">
        <v>937</v>
      </c>
      <c r="F276" s="3" t="s">
        <v>12</v>
      </c>
      <c r="G276" s="3" t="s">
        <v>254</v>
      </c>
      <c r="H276" s="9" t="s">
        <v>13</v>
      </c>
      <c r="I276" s="9">
        <v>330</v>
      </c>
      <c r="J276" s="3" t="s">
        <v>10</v>
      </c>
      <c r="K276" s="72">
        <v>10</v>
      </c>
      <c r="L276" s="62"/>
      <c r="M276" s="47">
        <f t="shared" si="5"/>
        <v>0</v>
      </c>
      <c r="N276" s="45"/>
    </row>
    <row r="277" spans="2:14" x14ac:dyDescent="0.3">
      <c r="B277" s="42" t="s">
        <v>609</v>
      </c>
      <c r="C277" s="5" t="s">
        <v>234</v>
      </c>
      <c r="D277" s="5">
        <v>8</v>
      </c>
      <c r="E277" s="41" t="s">
        <v>938</v>
      </c>
      <c r="F277" s="3" t="s">
        <v>12</v>
      </c>
      <c r="G277" s="3" t="s">
        <v>254</v>
      </c>
      <c r="H277" s="9" t="s">
        <v>13</v>
      </c>
      <c r="I277" s="9">
        <v>480</v>
      </c>
      <c r="J277" s="3" t="s">
        <v>10</v>
      </c>
      <c r="K277" s="72">
        <v>12</v>
      </c>
      <c r="L277" s="62"/>
      <c r="M277" s="47">
        <f t="shared" si="5"/>
        <v>0</v>
      </c>
      <c r="N277" s="45"/>
    </row>
    <row r="278" spans="2:14" x14ac:dyDescent="0.3">
      <c r="B278" s="42" t="s">
        <v>610</v>
      </c>
      <c r="C278" s="5" t="s">
        <v>234</v>
      </c>
      <c r="D278" s="5">
        <v>8</v>
      </c>
      <c r="E278" s="41" t="s">
        <v>939</v>
      </c>
      <c r="F278" s="3" t="s">
        <v>12</v>
      </c>
      <c r="G278" s="3" t="s">
        <v>264</v>
      </c>
      <c r="H278" s="9" t="s">
        <v>13</v>
      </c>
      <c r="I278" s="46">
        <v>7000</v>
      </c>
      <c r="J278" s="3" t="s">
        <v>10</v>
      </c>
      <c r="K278" s="72">
        <v>4</v>
      </c>
      <c r="L278" s="62"/>
      <c r="M278" s="47">
        <f t="shared" si="5"/>
        <v>0</v>
      </c>
      <c r="N278" s="45"/>
    </row>
    <row r="279" spans="2:14" x14ac:dyDescent="0.3">
      <c r="B279" s="42" t="s">
        <v>611</v>
      </c>
      <c r="C279" s="5" t="s">
        <v>234</v>
      </c>
      <c r="D279" s="5">
        <v>8</v>
      </c>
      <c r="E279" s="41" t="s">
        <v>940</v>
      </c>
      <c r="F279" s="3" t="s">
        <v>12</v>
      </c>
      <c r="G279" s="3" t="s">
        <v>264</v>
      </c>
      <c r="H279" s="9" t="s">
        <v>13</v>
      </c>
      <c r="I279" s="46">
        <v>7300</v>
      </c>
      <c r="J279" s="3" t="s">
        <v>10</v>
      </c>
      <c r="K279" s="72">
        <v>1</v>
      </c>
      <c r="L279" s="62"/>
      <c r="M279" s="47">
        <f t="shared" si="5"/>
        <v>0</v>
      </c>
      <c r="N279" s="45"/>
    </row>
    <row r="280" spans="2:14" x14ac:dyDescent="0.3">
      <c r="B280" s="42" t="s">
        <v>612</v>
      </c>
      <c r="C280" s="5" t="s">
        <v>234</v>
      </c>
      <c r="D280" s="5">
        <v>8</v>
      </c>
      <c r="E280" s="41" t="s">
        <v>941</v>
      </c>
      <c r="F280" s="3" t="s">
        <v>12</v>
      </c>
      <c r="G280" s="3" t="s">
        <v>264</v>
      </c>
      <c r="H280" s="9" t="s">
        <v>13</v>
      </c>
      <c r="I280" s="46">
        <v>7300</v>
      </c>
      <c r="J280" s="3" t="s">
        <v>10</v>
      </c>
      <c r="K280" s="72">
        <v>1</v>
      </c>
      <c r="L280" s="62"/>
      <c r="M280" s="47">
        <f t="shared" si="5"/>
        <v>0</v>
      </c>
      <c r="N280" s="45"/>
    </row>
    <row r="281" spans="2:14" x14ac:dyDescent="0.3">
      <c r="B281" s="42" t="s">
        <v>604</v>
      </c>
      <c r="C281" s="5" t="s">
        <v>234</v>
      </c>
      <c r="D281" s="5">
        <v>8</v>
      </c>
      <c r="E281" s="41" t="s">
        <v>933</v>
      </c>
      <c r="F281" s="3" t="s">
        <v>12</v>
      </c>
      <c r="G281" s="3" t="s">
        <v>262</v>
      </c>
      <c r="H281" s="9" t="s">
        <v>13</v>
      </c>
      <c r="I281" s="46">
        <v>10000</v>
      </c>
      <c r="J281" s="3" t="s">
        <v>10</v>
      </c>
      <c r="K281" s="72">
        <v>2</v>
      </c>
      <c r="L281" s="62"/>
      <c r="M281" s="47">
        <f t="shared" si="5"/>
        <v>0</v>
      </c>
      <c r="N281" s="45"/>
    </row>
    <row r="282" spans="2:14" x14ac:dyDescent="0.3">
      <c r="B282" s="42" t="s">
        <v>594</v>
      </c>
      <c r="C282" s="5" t="s">
        <v>234</v>
      </c>
      <c r="D282" s="5">
        <v>8</v>
      </c>
      <c r="E282" s="41" t="s">
        <v>923</v>
      </c>
      <c r="F282" s="3" t="s">
        <v>12</v>
      </c>
      <c r="G282" s="3" t="s">
        <v>265</v>
      </c>
      <c r="H282" s="9" t="s">
        <v>236</v>
      </c>
      <c r="I282" s="36">
        <v>1500</v>
      </c>
      <c r="J282" s="3" t="s">
        <v>10</v>
      </c>
      <c r="K282" s="72">
        <v>48</v>
      </c>
      <c r="L282" s="62"/>
      <c r="M282" s="47">
        <f t="shared" si="5"/>
        <v>0</v>
      </c>
      <c r="N282" s="45"/>
    </row>
    <row r="283" spans="2:14" x14ac:dyDescent="0.3">
      <c r="B283" s="42" t="s">
        <v>600</v>
      </c>
      <c r="C283" s="5" t="s">
        <v>234</v>
      </c>
      <c r="D283" s="5">
        <v>8</v>
      </c>
      <c r="E283" s="41" t="s">
        <v>929</v>
      </c>
      <c r="F283" s="3" t="s">
        <v>12</v>
      </c>
      <c r="G283" s="3" t="s">
        <v>259</v>
      </c>
      <c r="H283" s="9" t="s">
        <v>13</v>
      </c>
      <c r="I283" s="46">
        <v>2900</v>
      </c>
      <c r="J283" s="3" t="s">
        <v>10</v>
      </c>
      <c r="K283" s="72">
        <v>8</v>
      </c>
      <c r="L283" s="62"/>
      <c r="M283" s="47">
        <f t="shared" si="5"/>
        <v>0</v>
      </c>
      <c r="N283" s="45"/>
    </row>
    <row r="284" spans="2:14" x14ac:dyDescent="0.3">
      <c r="B284" s="42" t="s">
        <v>602</v>
      </c>
      <c r="C284" s="5" t="s">
        <v>234</v>
      </c>
      <c r="D284" s="5">
        <v>8</v>
      </c>
      <c r="E284" s="41" t="s">
        <v>931</v>
      </c>
      <c r="F284" s="3" t="s">
        <v>12</v>
      </c>
      <c r="G284" s="3" t="s">
        <v>261</v>
      </c>
      <c r="H284" s="9" t="s">
        <v>13</v>
      </c>
      <c r="I284" s="46">
        <v>2900</v>
      </c>
      <c r="J284" s="3" t="s">
        <v>10</v>
      </c>
      <c r="K284" s="72">
        <v>8</v>
      </c>
      <c r="L284" s="62"/>
      <c r="M284" s="47">
        <f t="shared" si="5"/>
        <v>0</v>
      </c>
      <c r="N284" s="45"/>
    </row>
    <row r="285" spans="2:14" x14ac:dyDescent="0.3">
      <c r="B285" s="42" t="s">
        <v>599</v>
      </c>
      <c r="C285" s="5" t="s">
        <v>234</v>
      </c>
      <c r="D285" s="5">
        <v>8</v>
      </c>
      <c r="E285" s="41" t="s">
        <v>928</v>
      </c>
      <c r="F285" s="3" t="s">
        <v>12</v>
      </c>
      <c r="G285" s="3" t="s">
        <v>258</v>
      </c>
      <c r="H285" s="9" t="s">
        <v>13</v>
      </c>
      <c r="I285" s="46">
        <v>2800</v>
      </c>
      <c r="J285" s="3" t="s">
        <v>10</v>
      </c>
      <c r="K285" s="72">
        <v>8</v>
      </c>
      <c r="L285" s="62"/>
      <c r="M285" s="47">
        <f t="shared" si="5"/>
        <v>0</v>
      </c>
      <c r="N285" s="45"/>
    </row>
    <row r="286" spans="2:14" x14ac:dyDescent="0.3">
      <c r="B286" s="42" t="s">
        <v>601</v>
      </c>
      <c r="C286" s="5" t="s">
        <v>234</v>
      </c>
      <c r="D286" s="5">
        <v>8</v>
      </c>
      <c r="E286" s="41" t="s">
        <v>930</v>
      </c>
      <c r="F286" s="3" t="s">
        <v>12</v>
      </c>
      <c r="G286" s="3" t="s">
        <v>260</v>
      </c>
      <c r="H286" s="9" t="s">
        <v>13</v>
      </c>
      <c r="I286" s="46">
        <v>2900</v>
      </c>
      <c r="J286" s="3" t="s">
        <v>10</v>
      </c>
      <c r="K286" s="72">
        <v>8</v>
      </c>
      <c r="L286" s="62"/>
      <c r="M286" s="47">
        <f t="shared" si="5"/>
        <v>0</v>
      </c>
      <c r="N286" s="45"/>
    </row>
    <row r="287" spans="2:14" x14ac:dyDescent="0.3">
      <c r="B287" s="42" t="s">
        <v>605</v>
      </c>
      <c r="C287" s="5" t="s">
        <v>234</v>
      </c>
      <c r="D287" s="5">
        <v>8</v>
      </c>
      <c r="E287" s="41" t="s">
        <v>934</v>
      </c>
      <c r="F287" s="3" t="s">
        <v>12</v>
      </c>
      <c r="G287" s="3" t="s">
        <v>263</v>
      </c>
      <c r="H287" s="9" t="s">
        <v>13</v>
      </c>
      <c r="I287" s="46">
        <v>2100</v>
      </c>
      <c r="J287" s="3" t="s">
        <v>10</v>
      </c>
      <c r="K287" s="72">
        <v>1</v>
      </c>
      <c r="L287" s="62"/>
      <c r="M287" s="47">
        <f t="shared" si="5"/>
        <v>0</v>
      </c>
      <c r="N287" s="45"/>
    </row>
    <row r="288" spans="2:14" x14ac:dyDescent="0.3">
      <c r="B288" s="42" t="s">
        <v>643</v>
      </c>
      <c r="C288" s="5" t="s">
        <v>282</v>
      </c>
      <c r="D288" s="5">
        <v>8</v>
      </c>
      <c r="E288" s="41" t="s">
        <v>972</v>
      </c>
      <c r="F288" s="3" t="s">
        <v>12</v>
      </c>
      <c r="G288" s="3" t="s">
        <v>1109</v>
      </c>
      <c r="H288" s="9" t="s">
        <v>13</v>
      </c>
      <c r="I288" s="3"/>
      <c r="J288" s="3"/>
      <c r="K288" s="72">
        <v>30</v>
      </c>
      <c r="L288" s="62"/>
      <c r="M288" s="47">
        <f t="shared" si="5"/>
        <v>0</v>
      </c>
      <c r="N288" s="58">
        <v>5108610100</v>
      </c>
    </row>
    <row r="289" spans="2:14" x14ac:dyDescent="0.3">
      <c r="B289" s="42" t="s">
        <v>642</v>
      </c>
      <c r="C289" s="5" t="s">
        <v>282</v>
      </c>
      <c r="D289" s="5">
        <v>8</v>
      </c>
      <c r="E289" s="41" t="s">
        <v>971</v>
      </c>
      <c r="F289" s="3" t="s">
        <v>12</v>
      </c>
      <c r="G289" s="3" t="s">
        <v>281</v>
      </c>
      <c r="H289" s="9" t="s">
        <v>13</v>
      </c>
      <c r="I289" s="3"/>
      <c r="J289" s="3"/>
      <c r="K289" s="72">
        <v>40</v>
      </c>
      <c r="L289" s="62"/>
      <c r="M289" s="47">
        <f t="shared" si="5"/>
        <v>0</v>
      </c>
      <c r="N289" s="57">
        <v>5108680000</v>
      </c>
    </row>
    <row r="290" spans="2:14" x14ac:dyDescent="0.3">
      <c r="B290" s="42" t="s">
        <v>645</v>
      </c>
      <c r="C290" s="5" t="s">
        <v>282</v>
      </c>
      <c r="D290" s="5">
        <v>8</v>
      </c>
      <c r="E290" s="41" t="s">
        <v>974</v>
      </c>
      <c r="F290" s="3" t="s">
        <v>12</v>
      </c>
      <c r="G290" s="3" t="s">
        <v>280</v>
      </c>
      <c r="H290" s="9" t="s">
        <v>13</v>
      </c>
      <c r="I290" s="3"/>
      <c r="J290" s="3"/>
      <c r="K290" s="72">
        <v>10</v>
      </c>
      <c r="L290" s="62"/>
      <c r="M290" s="47">
        <f t="shared" si="5"/>
        <v>0</v>
      </c>
      <c r="N290" s="57">
        <v>5108641100</v>
      </c>
    </row>
    <row r="291" spans="2:14" x14ac:dyDescent="0.3">
      <c r="B291" s="42" t="s">
        <v>710</v>
      </c>
      <c r="C291" s="5" t="s">
        <v>1280</v>
      </c>
      <c r="D291" s="5">
        <v>8</v>
      </c>
      <c r="E291" s="41" t="s">
        <v>1028</v>
      </c>
      <c r="F291" s="3" t="s">
        <v>12</v>
      </c>
      <c r="G291" s="3" t="s">
        <v>1221</v>
      </c>
      <c r="H291" s="9" t="s">
        <v>13</v>
      </c>
      <c r="I291" s="9" t="s">
        <v>1331</v>
      </c>
      <c r="J291" s="3" t="s">
        <v>11</v>
      </c>
      <c r="K291" s="72">
        <v>1</v>
      </c>
      <c r="L291" s="62"/>
      <c r="M291" s="47">
        <f t="shared" si="5"/>
        <v>0</v>
      </c>
      <c r="N291" s="45"/>
    </row>
    <row r="292" spans="2:14" x14ac:dyDescent="0.3">
      <c r="B292" s="42" t="s">
        <v>711</v>
      </c>
      <c r="C292" s="5" t="s">
        <v>1280</v>
      </c>
      <c r="D292" s="5">
        <v>8</v>
      </c>
      <c r="E292" s="41" t="s">
        <v>1029</v>
      </c>
      <c r="F292" s="3" t="s">
        <v>12</v>
      </c>
      <c r="G292" s="3" t="s">
        <v>1222</v>
      </c>
      <c r="H292" s="9" t="s">
        <v>13</v>
      </c>
      <c r="I292" s="9" t="s">
        <v>1331</v>
      </c>
      <c r="J292" s="3" t="s">
        <v>11</v>
      </c>
      <c r="K292" s="72">
        <v>1</v>
      </c>
      <c r="L292" s="62"/>
      <c r="M292" s="47">
        <f t="shared" si="5"/>
        <v>0</v>
      </c>
      <c r="N292" s="45"/>
    </row>
    <row r="293" spans="2:14" x14ac:dyDescent="0.3">
      <c r="B293" s="42" t="s">
        <v>699</v>
      </c>
      <c r="C293" s="5" t="s">
        <v>1280</v>
      </c>
      <c r="D293" s="5">
        <v>8</v>
      </c>
      <c r="E293" s="41" t="s">
        <v>1017</v>
      </c>
      <c r="F293" s="3" t="s">
        <v>12</v>
      </c>
      <c r="G293" s="3" t="s">
        <v>1320</v>
      </c>
      <c r="H293" s="9" t="s">
        <v>13</v>
      </c>
      <c r="I293" s="9" t="s">
        <v>1346</v>
      </c>
      <c r="J293" s="3" t="s">
        <v>11</v>
      </c>
      <c r="K293" s="72">
        <v>14</v>
      </c>
      <c r="L293" s="62"/>
      <c r="M293" s="47">
        <f t="shared" si="5"/>
        <v>0</v>
      </c>
      <c r="N293" s="45"/>
    </row>
    <row r="294" spans="2:14" x14ac:dyDescent="0.3">
      <c r="B294" s="42" t="s">
        <v>695</v>
      </c>
      <c r="C294" s="5" t="s">
        <v>1280</v>
      </c>
      <c r="D294" s="5">
        <v>8</v>
      </c>
      <c r="E294" s="41" t="s">
        <v>1013</v>
      </c>
      <c r="F294" s="3" t="s">
        <v>12</v>
      </c>
      <c r="G294" s="3" t="s">
        <v>1320</v>
      </c>
      <c r="H294" s="9" t="s">
        <v>13</v>
      </c>
      <c r="I294" s="9" t="s">
        <v>1346</v>
      </c>
      <c r="J294" s="3" t="s">
        <v>11</v>
      </c>
      <c r="K294" s="72">
        <v>4</v>
      </c>
      <c r="L294" s="62"/>
      <c r="M294" s="47">
        <f t="shared" si="5"/>
        <v>0</v>
      </c>
      <c r="N294" s="45"/>
    </row>
    <row r="295" spans="2:14" x14ac:dyDescent="0.3">
      <c r="B295" s="42" t="s">
        <v>696</v>
      </c>
      <c r="C295" s="5" t="s">
        <v>1280</v>
      </c>
      <c r="D295" s="5">
        <v>8</v>
      </c>
      <c r="E295" s="41" t="s">
        <v>1014</v>
      </c>
      <c r="F295" s="3" t="s">
        <v>12</v>
      </c>
      <c r="G295" s="3" t="s">
        <v>1320</v>
      </c>
      <c r="H295" s="9" t="s">
        <v>13</v>
      </c>
      <c r="I295" s="9" t="s">
        <v>1346</v>
      </c>
      <c r="J295" s="3" t="s">
        <v>11</v>
      </c>
      <c r="K295" s="72">
        <v>4</v>
      </c>
      <c r="L295" s="62"/>
      <c r="M295" s="47">
        <f t="shared" si="5"/>
        <v>0</v>
      </c>
      <c r="N295" s="45"/>
    </row>
    <row r="296" spans="2:14" x14ac:dyDescent="0.3">
      <c r="B296" s="42" t="s">
        <v>697</v>
      </c>
      <c r="C296" s="5" t="s">
        <v>1280</v>
      </c>
      <c r="D296" s="5">
        <v>8</v>
      </c>
      <c r="E296" s="41" t="s">
        <v>1015</v>
      </c>
      <c r="F296" s="3" t="s">
        <v>12</v>
      </c>
      <c r="G296" s="3" t="s">
        <v>1320</v>
      </c>
      <c r="H296" s="9" t="s">
        <v>13</v>
      </c>
      <c r="I296" s="9" t="s">
        <v>1346</v>
      </c>
      <c r="J296" s="3" t="s">
        <v>11</v>
      </c>
      <c r="K296" s="72">
        <v>6</v>
      </c>
      <c r="L296" s="62"/>
      <c r="M296" s="63">
        <f t="shared" ref="M296:M359" si="6">+K296*L296</f>
        <v>0</v>
      </c>
      <c r="N296" s="45"/>
    </row>
    <row r="297" spans="2:14" x14ac:dyDescent="0.3">
      <c r="B297" s="42" t="s">
        <v>1214</v>
      </c>
      <c r="C297" s="5" t="s">
        <v>1280</v>
      </c>
      <c r="D297" s="5">
        <v>8</v>
      </c>
      <c r="E297" s="41" t="s">
        <v>1220</v>
      </c>
      <c r="F297" s="3" t="s">
        <v>12</v>
      </c>
      <c r="G297" s="3" t="s">
        <v>12</v>
      </c>
      <c r="H297" s="9" t="s">
        <v>13</v>
      </c>
      <c r="I297" s="9" t="s">
        <v>1319</v>
      </c>
      <c r="J297" s="3" t="s">
        <v>11</v>
      </c>
      <c r="K297" s="72">
        <v>2</v>
      </c>
      <c r="L297" s="62"/>
      <c r="M297" s="63">
        <f t="shared" si="6"/>
        <v>0</v>
      </c>
      <c r="N297" s="45"/>
    </row>
    <row r="298" spans="2:14" x14ac:dyDescent="0.3">
      <c r="B298" s="42" t="s">
        <v>1212</v>
      </c>
      <c r="C298" s="5" t="s">
        <v>1280</v>
      </c>
      <c r="D298" s="5">
        <v>8</v>
      </c>
      <c r="E298" s="41" t="s">
        <v>1218</v>
      </c>
      <c r="F298" s="3" t="s">
        <v>12</v>
      </c>
      <c r="G298" s="3" t="s">
        <v>1216</v>
      </c>
      <c r="H298" s="9" t="s">
        <v>13</v>
      </c>
      <c r="I298" s="9" t="s">
        <v>1332</v>
      </c>
      <c r="J298" s="3" t="s">
        <v>11</v>
      </c>
      <c r="K298" s="72">
        <v>2</v>
      </c>
      <c r="L298" s="62"/>
      <c r="M298" s="63">
        <f t="shared" si="6"/>
        <v>0</v>
      </c>
      <c r="N298" s="45"/>
    </row>
    <row r="299" spans="2:14" x14ac:dyDescent="0.3">
      <c r="B299" s="42" t="s">
        <v>1211</v>
      </c>
      <c r="C299" s="5" t="s">
        <v>1280</v>
      </c>
      <c r="D299" s="5">
        <v>8</v>
      </c>
      <c r="E299" s="41" t="s">
        <v>1217</v>
      </c>
      <c r="F299" s="3" t="s">
        <v>12</v>
      </c>
      <c r="G299" s="3" t="s">
        <v>1216</v>
      </c>
      <c r="H299" s="9" t="s">
        <v>13</v>
      </c>
      <c r="I299" s="9" t="s">
        <v>1332</v>
      </c>
      <c r="J299" s="3" t="s">
        <v>11</v>
      </c>
      <c r="K299" s="72">
        <v>2</v>
      </c>
      <c r="L299" s="62"/>
      <c r="M299" s="63">
        <f t="shared" si="6"/>
        <v>0</v>
      </c>
      <c r="N299" s="45"/>
    </row>
    <row r="300" spans="2:14" x14ac:dyDescent="0.3">
      <c r="B300" s="42" t="s">
        <v>1213</v>
      </c>
      <c r="C300" s="5" t="s">
        <v>1280</v>
      </c>
      <c r="D300" s="5">
        <v>8</v>
      </c>
      <c r="E300" s="41" t="s">
        <v>1219</v>
      </c>
      <c r="F300" s="3" t="s">
        <v>12</v>
      </c>
      <c r="G300" s="3" t="s">
        <v>1216</v>
      </c>
      <c r="H300" s="9" t="s">
        <v>13</v>
      </c>
      <c r="I300" s="9" t="s">
        <v>1332</v>
      </c>
      <c r="J300" s="3" t="s">
        <v>11</v>
      </c>
      <c r="K300" s="72">
        <v>2</v>
      </c>
      <c r="L300" s="62"/>
      <c r="M300" s="63">
        <f t="shared" si="6"/>
        <v>0</v>
      </c>
      <c r="N300" s="45"/>
    </row>
    <row r="301" spans="2:14" x14ac:dyDescent="0.3">
      <c r="B301" s="42" t="s">
        <v>709</v>
      </c>
      <c r="C301" s="5" t="s">
        <v>1280</v>
      </c>
      <c r="D301" s="5">
        <v>8</v>
      </c>
      <c r="E301" s="41" t="s">
        <v>1027</v>
      </c>
      <c r="F301" s="3" t="s">
        <v>12</v>
      </c>
      <c r="G301" s="3" t="s">
        <v>312</v>
      </c>
      <c r="H301" s="9" t="s">
        <v>13</v>
      </c>
      <c r="I301" s="9" t="s">
        <v>1334</v>
      </c>
      <c r="J301" s="3" t="s">
        <v>11</v>
      </c>
      <c r="K301" s="72">
        <v>1</v>
      </c>
      <c r="L301" s="62"/>
      <c r="M301" s="47">
        <f t="shared" si="6"/>
        <v>0</v>
      </c>
      <c r="N301" s="45"/>
    </row>
    <row r="302" spans="2:14" x14ac:dyDescent="0.3">
      <c r="B302" s="42" t="s">
        <v>1210</v>
      </c>
      <c r="C302" s="5" t="s">
        <v>1280</v>
      </c>
      <c r="D302" s="5">
        <v>8</v>
      </c>
      <c r="E302" s="41" t="s">
        <v>1215</v>
      </c>
      <c r="F302" s="3" t="s">
        <v>12</v>
      </c>
      <c r="G302" s="3" t="s">
        <v>1216</v>
      </c>
      <c r="H302" s="9" t="s">
        <v>13</v>
      </c>
      <c r="I302" s="9" t="s">
        <v>1332</v>
      </c>
      <c r="J302" s="3" t="s">
        <v>11</v>
      </c>
      <c r="K302" s="72">
        <v>2</v>
      </c>
      <c r="L302" s="62"/>
      <c r="M302" s="47">
        <f t="shared" si="6"/>
        <v>0</v>
      </c>
      <c r="N302" s="45"/>
    </row>
    <row r="303" spans="2:14" x14ac:dyDescent="0.3">
      <c r="B303" s="42" t="s">
        <v>1055</v>
      </c>
      <c r="C303" s="5" t="s">
        <v>1223</v>
      </c>
      <c r="D303" s="5">
        <v>8</v>
      </c>
      <c r="E303" s="41" t="s">
        <v>1063</v>
      </c>
      <c r="F303" s="3" t="s">
        <v>12</v>
      </c>
      <c r="G303" s="3" t="s">
        <v>1064</v>
      </c>
      <c r="H303" s="9" t="s">
        <v>13</v>
      </c>
      <c r="I303" s="3"/>
      <c r="J303" s="3" t="s">
        <v>11</v>
      </c>
      <c r="K303" s="72">
        <v>180</v>
      </c>
      <c r="L303" s="62"/>
      <c r="M303" s="47">
        <f t="shared" si="6"/>
        <v>0</v>
      </c>
      <c r="N303" s="45"/>
    </row>
    <row r="304" spans="2:14" x14ac:dyDescent="0.3">
      <c r="B304" s="42" t="s">
        <v>553</v>
      </c>
      <c r="C304" s="5" t="s">
        <v>1223</v>
      </c>
      <c r="D304" s="5">
        <v>8</v>
      </c>
      <c r="E304" s="41" t="s">
        <v>882</v>
      </c>
      <c r="F304" s="3" t="s">
        <v>12</v>
      </c>
      <c r="G304" s="3" t="s">
        <v>716</v>
      </c>
      <c r="H304" s="9" t="s">
        <v>13</v>
      </c>
      <c r="I304" s="3"/>
      <c r="J304" s="3" t="s">
        <v>11</v>
      </c>
      <c r="K304" s="72">
        <v>40</v>
      </c>
      <c r="L304" s="62"/>
      <c r="M304" s="47">
        <f t="shared" si="6"/>
        <v>0</v>
      </c>
      <c r="N304" s="45"/>
    </row>
    <row r="305" spans="2:14" x14ac:dyDescent="0.3">
      <c r="B305" s="42" t="s">
        <v>556</v>
      </c>
      <c r="C305" s="5" t="s">
        <v>1223</v>
      </c>
      <c r="D305" s="5">
        <v>8</v>
      </c>
      <c r="E305" s="41" t="s">
        <v>885</v>
      </c>
      <c r="F305" s="3" t="s">
        <v>12</v>
      </c>
      <c r="G305" s="3" t="s">
        <v>717</v>
      </c>
      <c r="H305" s="9" t="s">
        <v>13</v>
      </c>
      <c r="I305" s="3"/>
      <c r="J305" s="3" t="s">
        <v>11</v>
      </c>
      <c r="K305" s="72">
        <v>60</v>
      </c>
      <c r="L305" s="62"/>
      <c r="M305" s="47">
        <f t="shared" si="6"/>
        <v>0</v>
      </c>
      <c r="N305" s="45"/>
    </row>
    <row r="306" spans="2:14" x14ac:dyDescent="0.3">
      <c r="B306" s="42" t="s">
        <v>557</v>
      </c>
      <c r="C306" s="5" t="s">
        <v>1223</v>
      </c>
      <c r="D306" s="5">
        <v>8</v>
      </c>
      <c r="E306" s="41" t="s">
        <v>886</v>
      </c>
      <c r="F306" s="3" t="s">
        <v>12</v>
      </c>
      <c r="G306" s="3" t="s">
        <v>721</v>
      </c>
      <c r="H306" s="9" t="s">
        <v>13</v>
      </c>
      <c r="I306" s="3"/>
      <c r="J306" s="3" t="s">
        <v>11</v>
      </c>
      <c r="K306" s="72">
        <v>3</v>
      </c>
      <c r="L306" s="62"/>
      <c r="M306" s="47">
        <f t="shared" si="6"/>
        <v>0</v>
      </c>
      <c r="N306" s="45"/>
    </row>
    <row r="307" spans="2:14" x14ac:dyDescent="0.3">
      <c r="B307" s="42" t="s">
        <v>1056</v>
      </c>
      <c r="C307" s="5" t="s">
        <v>1223</v>
      </c>
      <c r="D307" s="5">
        <v>8</v>
      </c>
      <c r="E307" s="41" t="s">
        <v>1065</v>
      </c>
      <c r="F307" s="3" t="s">
        <v>12</v>
      </c>
      <c r="G307" s="3" t="s">
        <v>1066</v>
      </c>
      <c r="H307" s="9" t="s">
        <v>13</v>
      </c>
      <c r="I307" s="3"/>
      <c r="J307" s="3" t="s">
        <v>11</v>
      </c>
      <c r="K307" s="72">
        <v>1</v>
      </c>
      <c r="L307" s="62"/>
      <c r="M307" s="47">
        <f t="shared" si="6"/>
        <v>0</v>
      </c>
      <c r="N307" s="45"/>
    </row>
    <row r="308" spans="2:14" x14ac:dyDescent="0.3">
      <c r="B308" s="42" t="s">
        <v>558</v>
      </c>
      <c r="C308" s="5" t="s">
        <v>1223</v>
      </c>
      <c r="D308" s="5">
        <v>8</v>
      </c>
      <c r="E308" s="41" t="s">
        <v>887</v>
      </c>
      <c r="F308" s="3" t="s">
        <v>12</v>
      </c>
      <c r="G308" s="3" t="s">
        <v>722</v>
      </c>
      <c r="H308" s="9" t="s">
        <v>13</v>
      </c>
      <c r="I308" s="3"/>
      <c r="J308" s="3" t="s">
        <v>11</v>
      </c>
      <c r="K308" s="72">
        <v>60</v>
      </c>
      <c r="L308" s="62"/>
      <c r="M308" s="47">
        <f t="shared" si="6"/>
        <v>0</v>
      </c>
      <c r="N308" s="45"/>
    </row>
    <row r="309" spans="2:14" x14ac:dyDescent="0.3">
      <c r="B309" s="42" t="s">
        <v>1057</v>
      </c>
      <c r="C309" s="5" t="s">
        <v>1223</v>
      </c>
      <c r="D309" s="5">
        <v>8</v>
      </c>
      <c r="E309" s="41" t="s">
        <v>1067</v>
      </c>
      <c r="F309" s="3" t="s">
        <v>12</v>
      </c>
      <c r="G309" s="3" t="s">
        <v>1068</v>
      </c>
      <c r="H309" s="9" t="s">
        <v>13</v>
      </c>
      <c r="I309" s="3"/>
      <c r="J309" s="3" t="s">
        <v>11</v>
      </c>
      <c r="K309" s="72">
        <v>1</v>
      </c>
      <c r="L309" s="62"/>
      <c r="M309" s="47">
        <f t="shared" si="6"/>
        <v>0</v>
      </c>
      <c r="N309" s="45"/>
    </row>
    <row r="310" spans="2:14" x14ac:dyDescent="0.3">
      <c r="B310" s="42" t="s">
        <v>554</v>
      </c>
      <c r="C310" s="5" t="s">
        <v>1223</v>
      </c>
      <c r="D310" s="5">
        <v>8</v>
      </c>
      <c r="E310" s="41" t="s">
        <v>883</v>
      </c>
      <c r="F310" s="3" t="s">
        <v>12</v>
      </c>
      <c r="G310" s="3" t="s">
        <v>718</v>
      </c>
      <c r="H310" s="9" t="s">
        <v>13</v>
      </c>
      <c r="I310" s="3"/>
      <c r="J310" s="3" t="s">
        <v>11</v>
      </c>
      <c r="K310" s="72">
        <v>2</v>
      </c>
      <c r="L310" s="62"/>
      <c r="M310" s="47">
        <f t="shared" si="6"/>
        <v>0</v>
      </c>
      <c r="N310" s="45"/>
    </row>
    <row r="311" spans="2:14" x14ac:dyDescent="0.3">
      <c r="B311" s="42" t="s">
        <v>551</v>
      </c>
      <c r="C311" s="5" t="s">
        <v>1223</v>
      </c>
      <c r="D311" s="5">
        <v>8</v>
      </c>
      <c r="E311" s="41" t="s">
        <v>880</v>
      </c>
      <c r="F311" s="3" t="s">
        <v>12</v>
      </c>
      <c r="G311" s="3" t="s">
        <v>713</v>
      </c>
      <c r="H311" s="9" t="s">
        <v>13</v>
      </c>
      <c r="I311" s="3"/>
      <c r="J311" s="3" t="s">
        <v>11</v>
      </c>
      <c r="K311" s="72">
        <v>15</v>
      </c>
      <c r="L311" s="62"/>
      <c r="M311" s="47">
        <f t="shared" si="6"/>
        <v>0</v>
      </c>
      <c r="N311" s="45"/>
    </row>
    <row r="312" spans="2:14" x14ac:dyDescent="0.3">
      <c r="B312" s="42" t="s">
        <v>1127</v>
      </c>
      <c r="C312" s="5" t="s">
        <v>1146</v>
      </c>
      <c r="D312" s="5">
        <v>8</v>
      </c>
      <c r="E312" s="41" t="s">
        <v>1170</v>
      </c>
      <c r="F312" s="3" t="s">
        <v>12</v>
      </c>
      <c r="G312" s="3" t="s">
        <v>1169</v>
      </c>
      <c r="H312" s="9" t="s">
        <v>13</v>
      </c>
      <c r="I312" s="9"/>
      <c r="J312" s="3"/>
      <c r="K312" s="72">
        <v>120</v>
      </c>
      <c r="L312" s="62"/>
      <c r="M312" s="47">
        <f t="shared" si="6"/>
        <v>0</v>
      </c>
      <c r="N312" s="45"/>
    </row>
    <row r="313" spans="2:14" x14ac:dyDescent="0.3">
      <c r="B313" s="42" t="s">
        <v>1126</v>
      </c>
      <c r="C313" s="5" t="s">
        <v>1146</v>
      </c>
      <c r="D313" s="5">
        <v>8</v>
      </c>
      <c r="E313" s="41" t="s">
        <v>1168</v>
      </c>
      <c r="F313" s="3" t="s">
        <v>12</v>
      </c>
      <c r="G313" s="3" t="s">
        <v>1169</v>
      </c>
      <c r="H313" s="9" t="s">
        <v>13</v>
      </c>
      <c r="I313" s="9"/>
      <c r="J313" s="3"/>
      <c r="K313" s="72">
        <v>250</v>
      </c>
      <c r="L313" s="62"/>
      <c r="M313" s="47">
        <f t="shared" si="6"/>
        <v>0</v>
      </c>
      <c r="N313" s="45"/>
    </row>
    <row r="314" spans="2:14" x14ac:dyDescent="0.3">
      <c r="B314" s="42" t="s">
        <v>1130</v>
      </c>
      <c r="C314" s="5" t="s">
        <v>1146</v>
      </c>
      <c r="D314" s="5">
        <v>8</v>
      </c>
      <c r="E314" s="41" t="s">
        <v>1174</v>
      </c>
      <c r="F314" s="3" t="s">
        <v>12</v>
      </c>
      <c r="G314" s="3" t="s">
        <v>1175</v>
      </c>
      <c r="H314" s="9" t="s">
        <v>13</v>
      </c>
      <c r="I314" s="9"/>
      <c r="J314" s="3"/>
      <c r="K314" s="72">
        <v>70</v>
      </c>
      <c r="L314" s="62"/>
      <c r="M314" s="47">
        <f t="shared" si="6"/>
        <v>0</v>
      </c>
      <c r="N314" s="45"/>
    </row>
    <row r="315" spans="2:14" x14ac:dyDescent="0.3">
      <c r="B315" s="42" t="s">
        <v>1131</v>
      </c>
      <c r="C315" s="5" t="s">
        <v>1146</v>
      </c>
      <c r="D315" s="5">
        <v>8</v>
      </c>
      <c r="E315" s="41" t="s">
        <v>1176</v>
      </c>
      <c r="F315" s="3" t="s">
        <v>12</v>
      </c>
      <c r="G315" s="3" t="s">
        <v>1175</v>
      </c>
      <c r="H315" s="9" t="s">
        <v>13</v>
      </c>
      <c r="I315" s="9"/>
      <c r="J315" s="3"/>
      <c r="K315" s="72">
        <v>30</v>
      </c>
      <c r="L315" s="62"/>
      <c r="M315" s="47">
        <f t="shared" si="6"/>
        <v>0</v>
      </c>
      <c r="N315" s="45"/>
    </row>
    <row r="316" spans="2:14" x14ac:dyDescent="0.3">
      <c r="B316" s="42" t="s">
        <v>1135</v>
      </c>
      <c r="C316" s="5" t="s">
        <v>1146</v>
      </c>
      <c r="D316" s="5">
        <v>8</v>
      </c>
      <c r="E316" s="41" t="s">
        <v>1180</v>
      </c>
      <c r="F316" s="3" t="s">
        <v>12</v>
      </c>
      <c r="G316" s="3"/>
      <c r="H316" s="9" t="s">
        <v>13</v>
      </c>
      <c r="I316" s="9"/>
      <c r="J316" s="3"/>
      <c r="K316" s="72">
        <v>10</v>
      </c>
      <c r="L316" s="62"/>
      <c r="M316" s="47">
        <f t="shared" si="6"/>
        <v>0</v>
      </c>
      <c r="N316" s="45"/>
    </row>
    <row r="317" spans="2:14" x14ac:dyDescent="0.3">
      <c r="B317" s="42" t="s">
        <v>1133</v>
      </c>
      <c r="C317" s="5" t="s">
        <v>1146</v>
      </c>
      <c r="D317" s="5">
        <v>8</v>
      </c>
      <c r="E317" s="41" t="s">
        <v>1178</v>
      </c>
      <c r="F317" s="3" t="s">
        <v>12</v>
      </c>
      <c r="G317" s="3" t="s">
        <v>1175</v>
      </c>
      <c r="H317" s="9" t="s">
        <v>13</v>
      </c>
      <c r="I317" s="9"/>
      <c r="J317" s="3"/>
      <c r="K317" s="72">
        <v>4</v>
      </c>
      <c r="L317" s="62"/>
      <c r="M317" s="47">
        <f t="shared" si="6"/>
        <v>0</v>
      </c>
      <c r="N317" s="45"/>
    </row>
    <row r="318" spans="2:14" x14ac:dyDescent="0.3">
      <c r="B318" s="42" t="s">
        <v>1134</v>
      </c>
      <c r="C318" s="5" t="s">
        <v>1146</v>
      </c>
      <c r="D318" s="5">
        <v>8</v>
      </c>
      <c r="E318" s="41" t="s">
        <v>1179</v>
      </c>
      <c r="F318" s="3" t="s">
        <v>12</v>
      </c>
      <c r="G318" s="3" t="s">
        <v>1175</v>
      </c>
      <c r="H318" s="9" t="s">
        <v>13</v>
      </c>
      <c r="I318" s="9"/>
      <c r="J318" s="3"/>
      <c r="K318" s="72">
        <v>4</v>
      </c>
      <c r="L318" s="62"/>
      <c r="M318" s="47">
        <f t="shared" si="6"/>
        <v>0</v>
      </c>
      <c r="N318" s="45"/>
    </row>
    <row r="319" spans="2:14" x14ac:dyDescent="0.3">
      <c r="B319" s="42" t="s">
        <v>1132</v>
      </c>
      <c r="C319" s="5" t="s">
        <v>1146</v>
      </c>
      <c r="D319" s="5">
        <v>8</v>
      </c>
      <c r="E319" s="41" t="s">
        <v>1177</v>
      </c>
      <c r="F319" s="3" t="s">
        <v>12</v>
      </c>
      <c r="G319" s="3" t="s">
        <v>1175</v>
      </c>
      <c r="H319" s="9" t="s">
        <v>13</v>
      </c>
      <c r="I319" s="9"/>
      <c r="J319" s="3"/>
      <c r="K319" s="72">
        <v>10</v>
      </c>
      <c r="L319" s="62"/>
      <c r="M319" s="47">
        <f t="shared" si="6"/>
        <v>0</v>
      </c>
      <c r="N319" s="45"/>
    </row>
    <row r="320" spans="2:14" x14ac:dyDescent="0.3">
      <c r="B320" s="42" t="s">
        <v>1114</v>
      </c>
      <c r="C320" s="5" t="s">
        <v>1146</v>
      </c>
      <c r="D320" s="5">
        <v>8</v>
      </c>
      <c r="E320" s="41" t="s">
        <v>1154</v>
      </c>
      <c r="F320" s="3" t="s">
        <v>12</v>
      </c>
      <c r="G320" s="3"/>
      <c r="H320" s="9" t="s">
        <v>13</v>
      </c>
      <c r="I320" s="9"/>
      <c r="J320" s="3"/>
      <c r="K320" s="72">
        <v>3</v>
      </c>
      <c r="L320" s="62"/>
      <c r="M320" s="47">
        <f t="shared" si="6"/>
        <v>0</v>
      </c>
      <c r="N320" s="45"/>
    </row>
    <row r="321" spans="2:14" x14ac:dyDescent="0.3">
      <c r="B321" s="42" t="s">
        <v>1115</v>
      </c>
      <c r="C321" s="5" t="s">
        <v>1146</v>
      </c>
      <c r="D321" s="5">
        <v>8</v>
      </c>
      <c r="E321" s="41" t="s">
        <v>1155</v>
      </c>
      <c r="F321" s="3" t="s">
        <v>12</v>
      </c>
      <c r="G321" s="3"/>
      <c r="H321" s="9" t="s">
        <v>13</v>
      </c>
      <c r="I321" s="9"/>
      <c r="J321" s="3"/>
      <c r="K321" s="72">
        <v>30</v>
      </c>
      <c r="L321" s="62"/>
      <c r="M321" s="47">
        <f t="shared" si="6"/>
        <v>0</v>
      </c>
      <c r="N321" s="45"/>
    </row>
    <row r="322" spans="2:14" x14ac:dyDescent="0.3">
      <c r="B322" s="42" t="s">
        <v>1116</v>
      </c>
      <c r="C322" s="5" t="s">
        <v>1146</v>
      </c>
      <c r="D322" s="5">
        <v>8</v>
      </c>
      <c r="E322" s="41" t="s">
        <v>1156</v>
      </c>
      <c r="F322" s="3" t="s">
        <v>12</v>
      </c>
      <c r="G322" s="3"/>
      <c r="H322" s="9" t="s">
        <v>13</v>
      </c>
      <c r="I322" s="9"/>
      <c r="J322" s="3"/>
      <c r="K322" s="72">
        <v>25</v>
      </c>
      <c r="L322" s="62"/>
      <c r="M322" s="47">
        <f t="shared" si="6"/>
        <v>0</v>
      </c>
      <c r="N322" s="45"/>
    </row>
    <row r="323" spans="2:14" x14ac:dyDescent="0.3">
      <c r="B323" s="42" t="s">
        <v>1117</v>
      </c>
      <c r="C323" s="5" t="s">
        <v>1146</v>
      </c>
      <c r="D323" s="5">
        <v>8</v>
      </c>
      <c r="E323" s="41" t="s">
        <v>1157</v>
      </c>
      <c r="F323" s="3" t="s">
        <v>12</v>
      </c>
      <c r="G323" s="3"/>
      <c r="H323" s="9" t="s">
        <v>13</v>
      </c>
      <c r="I323" s="9"/>
      <c r="J323" s="3"/>
      <c r="K323" s="72">
        <v>20</v>
      </c>
      <c r="L323" s="62"/>
      <c r="M323" s="47">
        <f t="shared" si="6"/>
        <v>0</v>
      </c>
      <c r="N323" s="45"/>
    </row>
    <row r="324" spans="2:14" x14ac:dyDescent="0.3">
      <c r="B324" s="42" t="s">
        <v>1119</v>
      </c>
      <c r="C324" s="5" t="s">
        <v>1146</v>
      </c>
      <c r="D324" s="5">
        <v>8</v>
      </c>
      <c r="E324" s="41" t="s">
        <v>1159</v>
      </c>
      <c r="F324" s="3" t="s">
        <v>12</v>
      </c>
      <c r="G324" s="3"/>
      <c r="H324" s="9" t="s">
        <v>13</v>
      </c>
      <c r="I324" s="9"/>
      <c r="J324" s="3"/>
      <c r="K324" s="72">
        <v>30</v>
      </c>
      <c r="L324" s="62"/>
      <c r="M324" s="47">
        <f t="shared" si="6"/>
        <v>0</v>
      </c>
      <c r="N324" s="45"/>
    </row>
    <row r="325" spans="2:14" x14ac:dyDescent="0.3">
      <c r="B325" s="42" t="s">
        <v>1118</v>
      </c>
      <c r="C325" s="5" t="s">
        <v>1146</v>
      </c>
      <c r="D325" s="5">
        <v>8</v>
      </c>
      <c r="E325" s="41" t="s">
        <v>1158</v>
      </c>
      <c r="F325" s="3" t="s">
        <v>12</v>
      </c>
      <c r="G325" s="3"/>
      <c r="H325" s="9" t="s">
        <v>13</v>
      </c>
      <c r="I325" s="9"/>
      <c r="J325" s="3"/>
      <c r="K325" s="72">
        <v>20</v>
      </c>
      <c r="L325" s="62"/>
      <c r="M325" s="47">
        <f t="shared" si="6"/>
        <v>0</v>
      </c>
      <c r="N325" s="45"/>
    </row>
    <row r="326" spans="2:14" x14ac:dyDescent="0.3">
      <c r="B326" s="42" t="s">
        <v>1112</v>
      </c>
      <c r="C326" s="5" t="s">
        <v>1146</v>
      </c>
      <c r="D326" s="5">
        <v>8</v>
      </c>
      <c r="E326" s="41" t="s">
        <v>1151</v>
      </c>
      <c r="F326" s="3" t="s">
        <v>12</v>
      </c>
      <c r="G326" s="3" t="s">
        <v>1152</v>
      </c>
      <c r="H326" s="9" t="s">
        <v>13</v>
      </c>
      <c r="I326" s="9"/>
      <c r="J326" s="3"/>
      <c r="K326" s="72">
        <v>18</v>
      </c>
      <c r="L326" s="62"/>
      <c r="M326" s="47">
        <f t="shared" si="6"/>
        <v>0</v>
      </c>
      <c r="N326" s="45"/>
    </row>
    <row r="327" spans="2:14" x14ac:dyDescent="0.3">
      <c r="B327" s="42" t="s">
        <v>1113</v>
      </c>
      <c r="C327" s="5" t="s">
        <v>1146</v>
      </c>
      <c r="D327" s="5">
        <v>8</v>
      </c>
      <c r="E327" s="41" t="s">
        <v>1153</v>
      </c>
      <c r="F327" s="3" t="s">
        <v>12</v>
      </c>
      <c r="G327" s="3" t="s">
        <v>1152</v>
      </c>
      <c r="H327" s="9" t="s">
        <v>13</v>
      </c>
      <c r="I327" s="9"/>
      <c r="J327" s="3"/>
      <c r="K327" s="72">
        <v>18</v>
      </c>
      <c r="L327" s="62"/>
      <c r="M327" s="47">
        <f t="shared" si="6"/>
        <v>0</v>
      </c>
      <c r="N327" s="45"/>
    </row>
    <row r="328" spans="2:14" x14ac:dyDescent="0.3">
      <c r="B328" s="42" t="s">
        <v>1120</v>
      </c>
      <c r="C328" s="5" t="s">
        <v>1146</v>
      </c>
      <c r="D328" s="5">
        <v>8</v>
      </c>
      <c r="E328" s="41" t="s">
        <v>1160</v>
      </c>
      <c r="F328" s="3" t="s">
        <v>12</v>
      </c>
      <c r="G328" s="3" t="s">
        <v>1161</v>
      </c>
      <c r="H328" s="9" t="s">
        <v>13</v>
      </c>
      <c r="I328" s="9"/>
      <c r="J328" s="3"/>
      <c r="K328" s="72">
        <v>18</v>
      </c>
      <c r="L328" s="62"/>
      <c r="M328" s="47">
        <f t="shared" si="6"/>
        <v>0</v>
      </c>
      <c r="N328" s="45"/>
    </row>
    <row r="329" spans="2:14" x14ac:dyDescent="0.3">
      <c r="B329" s="42" t="s">
        <v>1121</v>
      </c>
      <c r="C329" s="5" t="s">
        <v>1146</v>
      </c>
      <c r="D329" s="5">
        <v>8</v>
      </c>
      <c r="E329" s="41" t="s">
        <v>1162</v>
      </c>
      <c r="F329" s="3" t="s">
        <v>12</v>
      </c>
      <c r="G329" s="3" t="s">
        <v>1161</v>
      </c>
      <c r="H329" s="9" t="s">
        <v>13</v>
      </c>
      <c r="I329" s="9"/>
      <c r="J329" s="3"/>
      <c r="K329" s="72">
        <v>100</v>
      </c>
      <c r="L329" s="62"/>
      <c r="M329" s="47">
        <f t="shared" si="6"/>
        <v>0</v>
      </c>
      <c r="N329" s="45"/>
    </row>
    <row r="330" spans="2:14" x14ac:dyDescent="0.3">
      <c r="B330" s="42" t="s">
        <v>1122</v>
      </c>
      <c r="C330" s="5" t="s">
        <v>1146</v>
      </c>
      <c r="D330" s="5">
        <v>8</v>
      </c>
      <c r="E330" s="41" t="s">
        <v>1163</v>
      </c>
      <c r="F330" s="3" t="s">
        <v>12</v>
      </c>
      <c r="G330" s="3" t="s">
        <v>1164</v>
      </c>
      <c r="H330" s="9" t="s">
        <v>13</v>
      </c>
      <c r="I330" s="9"/>
      <c r="J330" s="3"/>
      <c r="K330" s="72">
        <v>2</v>
      </c>
      <c r="L330" s="62"/>
      <c r="M330" s="47">
        <f t="shared" si="6"/>
        <v>0</v>
      </c>
      <c r="N330" s="45"/>
    </row>
    <row r="331" spans="2:14" x14ac:dyDescent="0.3">
      <c r="B331" s="42" t="s">
        <v>1125</v>
      </c>
      <c r="C331" s="5" t="s">
        <v>1146</v>
      </c>
      <c r="D331" s="5">
        <v>8</v>
      </c>
      <c r="E331" s="41" t="s">
        <v>1167</v>
      </c>
      <c r="F331" s="3" t="s">
        <v>12</v>
      </c>
      <c r="G331" s="3" t="s">
        <v>1164</v>
      </c>
      <c r="H331" s="9" t="s">
        <v>13</v>
      </c>
      <c r="I331" s="9"/>
      <c r="J331" s="3"/>
      <c r="K331" s="72">
        <v>2</v>
      </c>
      <c r="L331" s="62"/>
      <c r="M331" s="47">
        <f t="shared" si="6"/>
        <v>0</v>
      </c>
      <c r="N331" s="45"/>
    </row>
    <row r="332" spans="2:14" x14ac:dyDescent="0.3">
      <c r="B332" s="42" t="s">
        <v>1123</v>
      </c>
      <c r="C332" s="5" t="s">
        <v>1146</v>
      </c>
      <c r="D332" s="5">
        <v>8</v>
      </c>
      <c r="E332" s="41" t="s">
        <v>1165</v>
      </c>
      <c r="F332" s="3" t="s">
        <v>12</v>
      </c>
      <c r="G332" s="3" t="s">
        <v>1164</v>
      </c>
      <c r="H332" s="9" t="s">
        <v>13</v>
      </c>
      <c r="I332" s="9"/>
      <c r="J332" s="3"/>
      <c r="K332" s="72">
        <v>2</v>
      </c>
      <c r="L332" s="62"/>
      <c r="M332" s="47">
        <f t="shared" si="6"/>
        <v>0</v>
      </c>
      <c r="N332" s="45"/>
    </row>
    <row r="333" spans="2:14" x14ac:dyDescent="0.3">
      <c r="B333" s="42" t="s">
        <v>1124</v>
      </c>
      <c r="C333" s="5" t="s">
        <v>1146</v>
      </c>
      <c r="D333" s="5">
        <v>8</v>
      </c>
      <c r="E333" s="41" t="s">
        <v>1166</v>
      </c>
      <c r="F333" s="3" t="s">
        <v>12</v>
      </c>
      <c r="G333" s="3" t="s">
        <v>1164</v>
      </c>
      <c r="H333" s="9" t="s">
        <v>13</v>
      </c>
      <c r="I333" s="9"/>
      <c r="J333" s="3"/>
      <c r="K333" s="72">
        <v>2</v>
      </c>
      <c r="L333" s="62"/>
      <c r="M333" s="47">
        <f t="shared" si="6"/>
        <v>0</v>
      </c>
      <c r="N333" s="45"/>
    </row>
    <row r="334" spans="2:14" x14ac:dyDescent="0.3">
      <c r="B334" s="42" t="s">
        <v>1129</v>
      </c>
      <c r="C334" s="5" t="s">
        <v>1146</v>
      </c>
      <c r="D334" s="5">
        <v>8</v>
      </c>
      <c r="E334" s="41" t="s">
        <v>1172</v>
      </c>
      <c r="F334" s="3" t="s">
        <v>12</v>
      </c>
      <c r="G334" s="3" t="s">
        <v>1173</v>
      </c>
      <c r="H334" s="9" t="s">
        <v>13</v>
      </c>
      <c r="I334" s="9"/>
      <c r="J334" s="3"/>
      <c r="K334" s="72">
        <v>70</v>
      </c>
      <c r="L334" s="62"/>
      <c r="M334" s="47">
        <f t="shared" si="6"/>
        <v>0</v>
      </c>
      <c r="N334" s="45"/>
    </row>
    <row r="335" spans="2:14" x14ac:dyDescent="0.3">
      <c r="B335" s="42" t="s">
        <v>1128</v>
      </c>
      <c r="C335" s="5" t="s">
        <v>1146</v>
      </c>
      <c r="D335" s="5">
        <v>8</v>
      </c>
      <c r="E335" s="41" t="s">
        <v>1171</v>
      </c>
      <c r="F335" s="3" t="s">
        <v>12</v>
      </c>
      <c r="G335" s="3"/>
      <c r="H335" s="9" t="s">
        <v>13</v>
      </c>
      <c r="I335" s="9"/>
      <c r="J335" s="3"/>
      <c r="K335" s="72">
        <v>10</v>
      </c>
      <c r="L335" s="62"/>
      <c r="M335" s="47">
        <f t="shared" si="6"/>
        <v>0</v>
      </c>
      <c r="N335" s="45"/>
    </row>
    <row r="336" spans="2:14" x14ac:dyDescent="0.3">
      <c r="B336" s="42" t="s">
        <v>340</v>
      </c>
      <c r="C336" s="5" t="s">
        <v>1033</v>
      </c>
      <c r="D336" s="5">
        <v>8</v>
      </c>
      <c r="E336" s="48" t="s">
        <v>738</v>
      </c>
      <c r="F336" s="9" t="s">
        <v>12</v>
      </c>
      <c r="G336" s="9" t="s">
        <v>30</v>
      </c>
      <c r="H336" s="9" t="s">
        <v>13</v>
      </c>
      <c r="I336" s="9"/>
      <c r="J336" s="9" t="s">
        <v>10</v>
      </c>
      <c r="K336" s="72">
        <v>1</v>
      </c>
      <c r="L336" s="62"/>
      <c r="M336" s="47">
        <f t="shared" si="6"/>
        <v>0</v>
      </c>
      <c r="N336" s="45"/>
    </row>
    <row r="337" spans="2:14" x14ac:dyDescent="0.3">
      <c r="B337" s="42" t="s">
        <v>337</v>
      </c>
      <c r="C337" s="5" t="s">
        <v>1033</v>
      </c>
      <c r="D337" s="5">
        <v>8</v>
      </c>
      <c r="E337" s="48" t="s">
        <v>735</v>
      </c>
      <c r="F337" s="9" t="s">
        <v>12</v>
      </c>
      <c r="G337" s="9" t="s">
        <v>31</v>
      </c>
      <c r="H337" s="9" t="s">
        <v>13</v>
      </c>
      <c r="I337" s="9"/>
      <c r="J337" s="9" t="s">
        <v>10</v>
      </c>
      <c r="K337" s="72">
        <v>4</v>
      </c>
      <c r="L337" s="62"/>
      <c r="M337" s="47">
        <f t="shared" si="6"/>
        <v>0</v>
      </c>
      <c r="N337" s="45"/>
    </row>
    <row r="338" spans="2:14" x14ac:dyDescent="0.3">
      <c r="B338" s="42" t="s">
        <v>339</v>
      </c>
      <c r="C338" s="5" t="s">
        <v>1033</v>
      </c>
      <c r="D338" s="5">
        <v>8</v>
      </c>
      <c r="E338" s="48" t="s">
        <v>737</v>
      </c>
      <c r="F338" s="9" t="s">
        <v>12</v>
      </c>
      <c r="G338" s="9" t="s">
        <v>30</v>
      </c>
      <c r="H338" s="9" t="s">
        <v>13</v>
      </c>
      <c r="I338" s="9"/>
      <c r="J338" s="9" t="s">
        <v>10</v>
      </c>
      <c r="K338" s="72">
        <v>1</v>
      </c>
      <c r="L338" s="62"/>
      <c r="M338" s="47">
        <f t="shared" si="6"/>
        <v>0</v>
      </c>
      <c r="N338" s="45"/>
    </row>
    <row r="339" spans="2:14" x14ac:dyDescent="0.3">
      <c r="B339" s="42" t="s">
        <v>344</v>
      </c>
      <c r="C339" s="5" t="s">
        <v>1033</v>
      </c>
      <c r="D339" s="5">
        <v>8</v>
      </c>
      <c r="E339" s="48" t="s">
        <v>742</v>
      </c>
      <c r="F339" s="9" t="s">
        <v>12</v>
      </c>
      <c r="G339" s="9" t="s">
        <v>34</v>
      </c>
      <c r="H339" s="9" t="s">
        <v>13</v>
      </c>
      <c r="I339" s="9"/>
      <c r="J339" s="9" t="s">
        <v>10</v>
      </c>
      <c r="K339" s="72">
        <v>1</v>
      </c>
      <c r="L339" s="62"/>
      <c r="M339" s="47">
        <f t="shared" si="6"/>
        <v>0</v>
      </c>
      <c r="N339" s="45"/>
    </row>
    <row r="340" spans="2:14" x14ac:dyDescent="0.3">
      <c r="B340" s="42" t="s">
        <v>657</v>
      </c>
      <c r="C340" s="5" t="s">
        <v>285</v>
      </c>
      <c r="D340" s="5">
        <v>8</v>
      </c>
      <c r="E340" s="41" t="s">
        <v>986</v>
      </c>
      <c r="F340" s="3" t="s">
        <v>12</v>
      </c>
      <c r="G340" s="3" t="s">
        <v>683</v>
      </c>
      <c r="H340" s="9" t="s">
        <v>13</v>
      </c>
      <c r="I340" s="36">
        <v>2000</v>
      </c>
      <c r="J340" s="3" t="s">
        <v>10</v>
      </c>
      <c r="K340" s="72">
        <v>10</v>
      </c>
      <c r="L340" s="62"/>
      <c r="M340" s="47">
        <f t="shared" si="6"/>
        <v>0</v>
      </c>
      <c r="N340" s="45"/>
    </row>
    <row r="341" spans="2:14" x14ac:dyDescent="0.3">
      <c r="B341" s="42" t="s">
        <v>1080</v>
      </c>
      <c r="C341" s="5" t="s">
        <v>1108</v>
      </c>
      <c r="D341" s="5">
        <v>8</v>
      </c>
      <c r="E341" s="41" t="s">
        <v>1094</v>
      </c>
      <c r="F341" s="3" t="s">
        <v>12</v>
      </c>
      <c r="G341" s="3" t="s">
        <v>1099</v>
      </c>
      <c r="H341" s="9" t="s">
        <v>13</v>
      </c>
      <c r="I341" s="3"/>
      <c r="J341" s="3"/>
      <c r="K341" s="72">
        <v>4</v>
      </c>
      <c r="L341" s="62"/>
      <c r="M341" s="47">
        <f t="shared" si="6"/>
        <v>0</v>
      </c>
      <c r="N341" s="45" t="s">
        <v>1429</v>
      </c>
    </row>
    <row r="342" spans="2:14" x14ac:dyDescent="0.3">
      <c r="B342" s="42" t="s">
        <v>1081</v>
      </c>
      <c r="C342" s="5" t="s">
        <v>1108</v>
      </c>
      <c r="D342" s="5">
        <v>8</v>
      </c>
      <c r="E342" s="41" t="s">
        <v>1100</v>
      </c>
      <c r="F342" s="3" t="s">
        <v>12</v>
      </c>
      <c r="G342" s="3" t="s">
        <v>1099</v>
      </c>
      <c r="H342" s="9" t="s">
        <v>13</v>
      </c>
      <c r="I342" s="3"/>
      <c r="J342" s="3"/>
      <c r="K342" s="72">
        <v>4</v>
      </c>
      <c r="L342" s="62"/>
      <c r="M342" s="47">
        <f t="shared" si="6"/>
        <v>0</v>
      </c>
      <c r="N342" s="45" t="s">
        <v>1430</v>
      </c>
    </row>
    <row r="343" spans="2:14" x14ac:dyDescent="0.3">
      <c r="B343" s="42" t="s">
        <v>1082</v>
      </c>
      <c r="C343" s="5" t="s">
        <v>1108</v>
      </c>
      <c r="D343" s="5">
        <v>8</v>
      </c>
      <c r="E343" s="41" t="s">
        <v>1101</v>
      </c>
      <c r="F343" s="3" t="s">
        <v>12</v>
      </c>
      <c r="G343" s="3" t="s">
        <v>1099</v>
      </c>
      <c r="H343" s="9" t="s">
        <v>13</v>
      </c>
      <c r="I343" s="3"/>
      <c r="J343" s="3"/>
      <c r="K343" s="72">
        <v>2</v>
      </c>
      <c r="L343" s="62"/>
      <c r="M343" s="47">
        <f t="shared" si="6"/>
        <v>0</v>
      </c>
      <c r="N343" s="45" t="s">
        <v>1431</v>
      </c>
    </row>
    <row r="344" spans="2:14" x14ac:dyDescent="0.3">
      <c r="B344" s="42" t="s">
        <v>1083</v>
      </c>
      <c r="C344" s="5" t="s">
        <v>1108</v>
      </c>
      <c r="D344" s="5">
        <v>8</v>
      </c>
      <c r="E344" s="41" t="s">
        <v>1097</v>
      </c>
      <c r="F344" s="3" t="s">
        <v>12</v>
      </c>
      <c r="G344" s="3" t="s">
        <v>1099</v>
      </c>
      <c r="H344" s="9" t="s">
        <v>13</v>
      </c>
      <c r="I344" s="3"/>
      <c r="J344" s="3"/>
      <c r="K344" s="72">
        <v>2</v>
      </c>
      <c r="L344" s="62"/>
      <c r="M344" s="47">
        <f t="shared" si="6"/>
        <v>0</v>
      </c>
      <c r="N344" s="45" t="s">
        <v>1432</v>
      </c>
    </row>
    <row r="345" spans="2:14" x14ac:dyDescent="0.3">
      <c r="B345" s="42" t="s">
        <v>1084</v>
      </c>
      <c r="C345" s="5" t="s">
        <v>1108</v>
      </c>
      <c r="D345" s="5">
        <v>8</v>
      </c>
      <c r="E345" s="41" t="s">
        <v>1102</v>
      </c>
      <c r="F345" s="3" t="s">
        <v>12</v>
      </c>
      <c r="G345" s="3" t="s">
        <v>1099</v>
      </c>
      <c r="H345" s="9" t="s">
        <v>13</v>
      </c>
      <c r="I345" s="3"/>
      <c r="J345" s="3"/>
      <c r="K345" s="72">
        <v>2</v>
      </c>
      <c r="L345" s="62"/>
      <c r="M345" s="47">
        <f t="shared" si="6"/>
        <v>0</v>
      </c>
      <c r="N345" s="45" t="s">
        <v>1433</v>
      </c>
    </row>
    <row r="346" spans="2:14" x14ac:dyDescent="0.3">
      <c r="B346" s="42" t="s">
        <v>1085</v>
      </c>
      <c r="C346" s="5" t="s">
        <v>1108</v>
      </c>
      <c r="D346" s="5">
        <v>8</v>
      </c>
      <c r="E346" s="41" t="s">
        <v>1103</v>
      </c>
      <c r="F346" s="3" t="s">
        <v>12</v>
      </c>
      <c r="G346" s="3" t="s">
        <v>1099</v>
      </c>
      <c r="H346" s="9" t="s">
        <v>13</v>
      </c>
      <c r="I346" s="3"/>
      <c r="J346" s="3"/>
      <c r="K346" s="72">
        <v>2</v>
      </c>
      <c r="L346" s="62"/>
      <c r="M346" s="47">
        <f t="shared" si="6"/>
        <v>0</v>
      </c>
      <c r="N346" s="45" t="s">
        <v>1434</v>
      </c>
    </row>
    <row r="347" spans="2:14" x14ac:dyDescent="0.3">
      <c r="B347" s="42" t="s">
        <v>500</v>
      </c>
      <c r="C347" s="5" t="s">
        <v>1108</v>
      </c>
      <c r="D347" s="5">
        <v>8</v>
      </c>
      <c r="E347" s="41" t="s">
        <v>829</v>
      </c>
      <c r="F347" s="3" t="s">
        <v>12</v>
      </c>
      <c r="G347" s="3">
        <v>1006</v>
      </c>
      <c r="H347" s="9" t="s">
        <v>13</v>
      </c>
      <c r="I347" s="3"/>
      <c r="J347" s="3" t="s">
        <v>11</v>
      </c>
      <c r="K347" s="72">
        <v>17</v>
      </c>
      <c r="L347" s="62"/>
      <c r="M347" s="47">
        <f t="shared" si="6"/>
        <v>0</v>
      </c>
      <c r="N347" s="45" t="s">
        <v>207</v>
      </c>
    </row>
    <row r="348" spans="2:14" x14ac:dyDescent="0.3">
      <c r="B348" s="42" t="s">
        <v>499</v>
      </c>
      <c r="C348" s="5" t="s">
        <v>1108</v>
      </c>
      <c r="D348" s="5">
        <v>8</v>
      </c>
      <c r="E348" s="41" t="s">
        <v>828</v>
      </c>
      <c r="F348" s="3" t="s">
        <v>12</v>
      </c>
      <c r="G348" s="3">
        <v>1102</v>
      </c>
      <c r="H348" s="9" t="s">
        <v>13</v>
      </c>
      <c r="I348" s="3"/>
      <c r="J348" s="3" t="s">
        <v>11</v>
      </c>
      <c r="K348" s="72">
        <v>17</v>
      </c>
      <c r="L348" s="62"/>
      <c r="M348" s="47">
        <f t="shared" si="6"/>
        <v>0</v>
      </c>
      <c r="N348" s="45" t="s">
        <v>198</v>
      </c>
    </row>
    <row r="349" spans="2:14" ht="57.6" x14ac:dyDescent="0.3">
      <c r="B349" s="42" t="s">
        <v>1249</v>
      </c>
      <c r="C349" s="5" t="s">
        <v>1245</v>
      </c>
      <c r="D349" s="5">
        <v>8</v>
      </c>
      <c r="E349" s="41" t="s">
        <v>733</v>
      </c>
      <c r="F349" s="3" t="s">
        <v>12</v>
      </c>
      <c r="G349" s="54" t="s">
        <v>25</v>
      </c>
      <c r="H349" s="9" t="s">
        <v>13</v>
      </c>
      <c r="I349" s="9">
        <v>560</v>
      </c>
      <c r="J349" s="3" t="s">
        <v>10</v>
      </c>
      <c r="K349" s="72">
        <v>5</v>
      </c>
      <c r="L349" s="62"/>
      <c r="M349" s="47">
        <f t="shared" si="6"/>
        <v>0</v>
      </c>
      <c r="N349" s="45">
        <v>522506124</v>
      </c>
    </row>
    <row r="350" spans="2:14" x14ac:dyDescent="0.3">
      <c r="B350" s="42" t="s">
        <v>1250</v>
      </c>
      <c r="C350" s="5" t="s">
        <v>1245</v>
      </c>
      <c r="D350" s="5">
        <v>8</v>
      </c>
      <c r="E350" s="41" t="s">
        <v>810</v>
      </c>
      <c r="F350" s="3" t="s">
        <v>12</v>
      </c>
      <c r="G350" s="3" t="s">
        <v>686</v>
      </c>
      <c r="H350" s="9" t="s">
        <v>13</v>
      </c>
      <c r="I350" s="9"/>
      <c r="J350" s="3" t="s">
        <v>11</v>
      </c>
      <c r="K350" s="72">
        <v>2</v>
      </c>
      <c r="L350" s="62"/>
      <c r="M350" s="47">
        <f t="shared" si="6"/>
        <v>0</v>
      </c>
      <c r="N350" s="45">
        <v>522509165</v>
      </c>
    </row>
    <row r="351" spans="2:14" x14ac:dyDescent="0.3">
      <c r="B351" s="42" t="s">
        <v>1251</v>
      </c>
      <c r="C351" s="5" t="s">
        <v>1245</v>
      </c>
      <c r="D351" s="5">
        <v>8</v>
      </c>
      <c r="E351" s="41" t="s">
        <v>811</v>
      </c>
      <c r="F351" s="3" t="s">
        <v>12</v>
      </c>
      <c r="G351" s="3" t="s">
        <v>686</v>
      </c>
      <c r="H351" s="9" t="s">
        <v>13</v>
      </c>
      <c r="I351" s="9"/>
      <c r="J351" s="3" t="s">
        <v>11</v>
      </c>
      <c r="K351" s="72">
        <v>2</v>
      </c>
      <c r="L351" s="62"/>
      <c r="M351" s="47">
        <f t="shared" si="6"/>
        <v>0</v>
      </c>
      <c r="N351" s="45">
        <v>522509166</v>
      </c>
    </row>
    <row r="352" spans="2:14" x14ac:dyDescent="0.3">
      <c r="B352" s="42" t="s">
        <v>1252</v>
      </c>
      <c r="C352" s="5" t="s">
        <v>1245</v>
      </c>
      <c r="D352" s="5">
        <v>8</v>
      </c>
      <c r="E352" s="41" t="s">
        <v>812</v>
      </c>
      <c r="F352" s="3" t="s">
        <v>12</v>
      </c>
      <c r="G352" s="3" t="s">
        <v>686</v>
      </c>
      <c r="H352" s="9" t="s">
        <v>13</v>
      </c>
      <c r="I352" s="9"/>
      <c r="J352" s="3" t="s">
        <v>11</v>
      </c>
      <c r="K352" s="72">
        <v>2</v>
      </c>
      <c r="L352" s="62"/>
      <c r="M352" s="47">
        <f t="shared" si="6"/>
        <v>0</v>
      </c>
      <c r="N352" s="45">
        <v>522509167</v>
      </c>
    </row>
    <row r="353" spans="2:14" ht="115.2" x14ac:dyDescent="0.3">
      <c r="B353" s="42" t="s">
        <v>1248</v>
      </c>
      <c r="C353" s="5" t="s">
        <v>1245</v>
      </c>
      <c r="D353" s="5">
        <v>8</v>
      </c>
      <c r="E353" s="41" t="s">
        <v>731</v>
      </c>
      <c r="F353" s="3" t="s">
        <v>12</v>
      </c>
      <c r="G353" s="54" t="s">
        <v>24</v>
      </c>
      <c r="H353" s="9" t="s">
        <v>13</v>
      </c>
      <c r="I353" s="9">
        <v>330</v>
      </c>
      <c r="J353" s="3" t="s">
        <v>10</v>
      </c>
      <c r="K353" s="72">
        <v>2</v>
      </c>
      <c r="L353" s="62"/>
      <c r="M353" s="47">
        <f t="shared" si="6"/>
        <v>0</v>
      </c>
      <c r="N353" s="45">
        <v>522506148</v>
      </c>
    </row>
    <row r="354" spans="2:14" x14ac:dyDescent="0.3">
      <c r="B354" s="42" t="s">
        <v>1259</v>
      </c>
      <c r="C354" s="5" t="s">
        <v>1245</v>
      </c>
      <c r="D354" s="5">
        <v>8</v>
      </c>
      <c r="E354" s="41" t="s">
        <v>1276</v>
      </c>
      <c r="F354" s="3" t="s">
        <v>12</v>
      </c>
      <c r="G354" s="3"/>
      <c r="H354" s="9" t="s">
        <v>13</v>
      </c>
      <c r="I354" s="9"/>
      <c r="J354" s="3" t="s">
        <v>11</v>
      </c>
      <c r="K354" s="72">
        <v>3</v>
      </c>
      <c r="L354" s="62"/>
      <c r="M354" s="47">
        <f t="shared" si="6"/>
        <v>0</v>
      </c>
      <c r="N354" s="45">
        <v>522506172</v>
      </c>
    </row>
    <row r="355" spans="2:14" x14ac:dyDescent="0.3">
      <c r="B355" s="42" t="s">
        <v>1256</v>
      </c>
      <c r="C355" s="5" t="s">
        <v>1245</v>
      </c>
      <c r="D355" s="5">
        <v>8</v>
      </c>
      <c r="E355" s="41" t="s">
        <v>817</v>
      </c>
      <c r="F355" s="3" t="s">
        <v>12</v>
      </c>
      <c r="G355" s="3" t="s">
        <v>125</v>
      </c>
      <c r="H355" s="9" t="s">
        <v>13</v>
      </c>
      <c r="I355" s="9"/>
      <c r="J355" s="3" t="s">
        <v>11</v>
      </c>
      <c r="K355" s="72">
        <v>5</v>
      </c>
      <c r="L355" s="62"/>
      <c r="M355" s="47">
        <f t="shared" si="6"/>
        <v>0</v>
      </c>
      <c r="N355" s="45">
        <v>522405597</v>
      </c>
    </row>
    <row r="356" spans="2:14" x14ac:dyDescent="0.3">
      <c r="B356" s="42" t="s">
        <v>1257</v>
      </c>
      <c r="C356" s="5" t="s">
        <v>1245</v>
      </c>
      <c r="D356" s="5">
        <v>8</v>
      </c>
      <c r="E356" s="41" t="s">
        <v>854</v>
      </c>
      <c r="F356" s="3" t="s">
        <v>12</v>
      </c>
      <c r="G356" s="3" t="s">
        <v>231</v>
      </c>
      <c r="H356" s="9" t="s">
        <v>13</v>
      </c>
      <c r="I356" s="9">
        <v>580</v>
      </c>
      <c r="J356" s="3" t="s">
        <v>10</v>
      </c>
      <c r="K356" s="72">
        <v>2</v>
      </c>
      <c r="L356" s="62"/>
      <c r="M356" s="47">
        <f t="shared" si="6"/>
        <v>0</v>
      </c>
      <c r="N356" s="45">
        <v>522506136</v>
      </c>
    </row>
    <row r="357" spans="2:14" x14ac:dyDescent="0.3">
      <c r="B357" s="42" t="s">
        <v>1255</v>
      </c>
      <c r="C357" s="5" t="s">
        <v>1245</v>
      </c>
      <c r="D357" s="5">
        <v>8</v>
      </c>
      <c r="E357" s="41" t="s">
        <v>815</v>
      </c>
      <c r="F357" s="3" t="s">
        <v>12</v>
      </c>
      <c r="G357" s="3" t="s">
        <v>686</v>
      </c>
      <c r="H357" s="9" t="s">
        <v>13</v>
      </c>
      <c r="I357" s="9"/>
      <c r="J357" s="3" t="s">
        <v>11</v>
      </c>
      <c r="K357" s="72">
        <v>10</v>
      </c>
      <c r="L357" s="62"/>
      <c r="M357" s="47">
        <f t="shared" si="6"/>
        <v>0</v>
      </c>
      <c r="N357" s="45">
        <v>522204665</v>
      </c>
    </row>
    <row r="358" spans="2:14" x14ac:dyDescent="0.3">
      <c r="B358" s="42" t="s">
        <v>1254</v>
      </c>
      <c r="C358" s="5" t="s">
        <v>1245</v>
      </c>
      <c r="D358" s="5">
        <v>8</v>
      </c>
      <c r="E358" s="41" t="s">
        <v>814</v>
      </c>
      <c r="F358" s="3" t="s">
        <v>12</v>
      </c>
      <c r="G358" s="3" t="s">
        <v>686</v>
      </c>
      <c r="H358" s="9" t="s">
        <v>13</v>
      </c>
      <c r="I358" s="9"/>
      <c r="J358" s="3" t="s">
        <v>11</v>
      </c>
      <c r="K358" s="72">
        <v>10</v>
      </c>
      <c r="L358" s="62"/>
      <c r="M358" s="47">
        <f t="shared" si="6"/>
        <v>0</v>
      </c>
      <c r="N358" s="45">
        <v>522204666</v>
      </c>
    </row>
    <row r="359" spans="2:14" x14ac:dyDescent="0.3">
      <c r="B359" s="42" t="s">
        <v>1253</v>
      </c>
      <c r="C359" s="5" t="s">
        <v>1245</v>
      </c>
      <c r="D359" s="5">
        <v>8</v>
      </c>
      <c r="E359" s="41" t="s">
        <v>813</v>
      </c>
      <c r="F359" s="3" t="s">
        <v>12</v>
      </c>
      <c r="G359" s="3" t="s">
        <v>686</v>
      </c>
      <c r="H359" s="9" t="s">
        <v>13</v>
      </c>
      <c r="I359" s="9"/>
      <c r="J359" s="3" t="s">
        <v>11</v>
      </c>
      <c r="K359" s="72">
        <v>10</v>
      </c>
      <c r="L359" s="62"/>
      <c r="M359" s="47">
        <f t="shared" si="6"/>
        <v>0</v>
      </c>
      <c r="N359" s="45">
        <v>522204663</v>
      </c>
    </row>
    <row r="360" spans="2:14" x14ac:dyDescent="0.3">
      <c r="B360" s="42" t="s">
        <v>1258</v>
      </c>
      <c r="C360" s="5" t="s">
        <v>1245</v>
      </c>
      <c r="D360" s="5">
        <v>8</v>
      </c>
      <c r="E360" s="41" t="s">
        <v>878</v>
      </c>
      <c r="F360" s="3" t="s">
        <v>12</v>
      </c>
      <c r="G360" s="3" t="s">
        <v>232</v>
      </c>
      <c r="H360" s="9" t="s">
        <v>13</v>
      </c>
      <c r="I360" s="9"/>
      <c r="J360" s="3" t="s">
        <v>11</v>
      </c>
      <c r="K360" s="72">
        <v>3</v>
      </c>
      <c r="L360" s="62"/>
      <c r="M360" s="47">
        <f t="shared" ref="M360:M381" si="7">+K360*L360</f>
        <v>0</v>
      </c>
      <c r="N360" s="45">
        <v>522204643</v>
      </c>
    </row>
    <row r="361" spans="2:14" x14ac:dyDescent="0.3">
      <c r="B361" s="67" t="s">
        <v>396</v>
      </c>
      <c r="C361" s="54" t="s">
        <v>1312</v>
      </c>
      <c r="D361" s="54">
        <v>8</v>
      </c>
      <c r="E361" s="52" t="s">
        <v>794</v>
      </c>
      <c r="F361" s="54" t="s">
        <v>12</v>
      </c>
      <c r="G361" s="54" t="s">
        <v>45</v>
      </c>
      <c r="H361" s="54" t="s">
        <v>13</v>
      </c>
      <c r="I361" s="46">
        <v>6000</v>
      </c>
      <c r="J361" s="54" t="s">
        <v>10</v>
      </c>
      <c r="K361" s="73">
        <v>4</v>
      </c>
      <c r="L361" s="65"/>
      <c r="M361" s="47">
        <f t="shared" si="7"/>
        <v>0</v>
      </c>
      <c r="N361" s="45"/>
    </row>
    <row r="362" spans="2:14" x14ac:dyDescent="0.3">
      <c r="B362" s="67" t="s">
        <v>397</v>
      </c>
      <c r="C362" s="54" t="s">
        <v>1312</v>
      </c>
      <c r="D362" s="54">
        <v>8</v>
      </c>
      <c r="E362" s="52" t="s">
        <v>795</v>
      </c>
      <c r="F362" s="54" t="s">
        <v>12</v>
      </c>
      <c r="G362" s="54" t="s">
        <v>45</v>
      </c>
      <c r="H362" s="54" t="s">
        <v>13</v>
      </c>
      <c r="I362" s="46">
        <v>6000</v>
      </c>
      <c r="J362" s="54" t="s">
        <v>10</v>
      </c>
      <c r="K362" s="73">
        <v>4</v>
      </c>
      <c r="L362" s="65"/>
      <c r="M362" s="47">
        <f t="shared" si="7"/>
        <v>0</v>
      </c>
      <c r="N362" s="45"/>
    </row>
    <row r="363" spans="2:14" x14ac:dyDescent="0.3">
      <c r="B363" s="67" t="s">
        <v>398</v>
      </c>
      <c r="C363" s="54" t="s">
        <v>1312</v>
      </c>
      <c r="D363" s="54">
        <v>8</v>
      </c>
      <c r="E363" s="52" t="s">
        <v>796</v>
      </c>
      <c r="F363" s="54" t="s">
        <v>12</v>
      </c>
      <c r="G363" s="54" t="s">
        <v>45</v>
      </c>
      <c r="H363" s="54" t="s">
        <v>13</v>
      </c>
      <c r="I363" s="46">
        <v>6000</v>
      </c>
      <c r="J363" s="54" t="s">
        <v>10</v>
      </c>
      <c r="K363" s="73">
        <v>4</v>
      </c>
      <c r="L363" s="65"/>
      <c r="M363" s="47">
        <f t="shared" si="7"/>
        <v>0</v>
      </c>
      <c r="N363" s="45"/>
    </row>
    <row r="364" spans="2:14" x14ac:dyDescent="0.3">
      <c r="B364" s="67" t="s">
        <v>399</v>
      </c>
      <c r="C364" s="54" t="s">
        <v>1312</v>
      </c>
      <c r="D364" s="54">
        <v>8</v>
      </c>
      <c r="E364" s="52" t="s">
        <v>797</v>
      </c>
      <c r="F364" s="54" t="s">
        <v>12</v>
      </c>
      <c r="G364" s="54" t="s">
        <v>45</v>
      </c>
      <c r="H364" s="54" t="s">
        <v>13</v>
      </c>
      <c r="I364" s="60">
        <v>9000</v>
      </c>
      <c r="J364" s="54" t="s">
        <v>10</v>
      </c>
      <c r="K364" s="73">
        <v>4</v>
      </c>
      <c r="L364" s="65"/>
      <c r="M364" s="47">
        <f t="shared" si="7"/>
        <v>0</v>
      </c>
      <c r="N364" s="45"/>
    </row>
    <row r="365" spans="2:14" x14ac:dyDescent="0.3">
      <c r="B365" s="67" t="s">
        <v>362</v>
      </c>
      <c r="C365" s="54" t="s">
        <v>1312</v>
      </c>
      <c r="D365" s="54">
        <v>8</v>
      </c>
      <c r="E365" s="52" t="s">
        <v>760</v>
      </c>
      <c r="F365" s="54" t="s">
        <v>12</v>
      </c>
      <c r="G365" s="54" t="s">
        <v>46</v>
      </c>
      <c r="H365" s="54" t="s">
        <v>13</v>
      </c>
      <c r="I365" s="54" t="s">
        <v>686</v>
      </c>
      <c r="J365" s="54" t="s">
        <v>11</v>
      </c>
      <c r="K365" s="73">
        <v>2</v>
      </c>
      <c r="L365" s="65"/>
      <c r="M365" s="47">
        <f t="shared" si="7"/>
        <v>0</v>
      </c>
      <c r="N365" s="45"/>
    </row>
    <row r="366" spans="2:14" x14ac:dyDescent="0.3">
      <c r="B366" s="67" t="s">
        <v>363</v>
      </c>
      <c r="C366" s="54" t="s">
        <v>1312</v>
      </c>
      <c r="D366" s="54">
        <v>8</v>
      </c>
      <c r="E366" s="52" t="s">
        <v>761</v>
      </c>
      <c r="F366" s="54" t="s">
        <v>12</v>
      </c>
      <c r="G366" s="54" t="s">
        <v>46</v>
      </c>
      <c r="H366" s="54" t="s">
        <v>13</v>
      </c>
      <c r="I366" s="54" t="s">
        <v>686</v>
      </c>
      <c r="J366" s="54" t="s">
        <v>11</v>
      </c>
      <c r="K366" s="73">
        <v>1</v>
      </c>
      <c r="L366" s="65"/>
      <c r="M366" s="47">
        <f t="shared" si="7"/>
        <v>0</v>
      </c>
      <c r="N366" s="45"/>
    </row>
    <row r="367" spans="2:14" x14ac:dyDescent="0.3">
      <c r="B367" s="67" t="s">
        <v>364</v>
      </c>
      <c r="C367" s="54" t="s">
        <v>1312</v>
      </c>
      <c r="D367" s="54">
        <v>8</v>
      </c>
      <c r="E367" s="52" t="s">
        <v>762</v>
      </c>
      <c r="F367" s="54" t="s">
        <v>12</v>
      </c>
      <c r="G367" s="54" t="s">
        <v>46</v>
      </c>
      <c r="H367" s="54" t="s">
        <v>13</v>
      </c>
      <c r="I367" s="54" t="s">
        <v>686</v>
      </c>
      <c r="J367" s="54" t="s">
        <v>11</v>
      </c>
      <c r="K367" s="73">
        <v>2</v>
      </c>
      <c r="L367" s="65"/>
      <c r="M367" s="47">
        <f t="shared" si="7"/>
        <v>0</v>
      </c>
      <c r="N367" s="45"/>
    </row>
    <row r="368" spans="2:14" x14ac:dyDescent="0.3">
      <c r="B368" s="67" t="s">
        <v>402</v>
      </c>
      <c r="C368" s="54" t="s">
        <v>1312</v>
      </c>
      <c r="D368" s="54">
        <v>8</v>
      </c>
      <c r="E368" s="52" t="s">
        <v>801</v>
      </c>
      <c r="F368" s="54" t="s">
        <v>12</v>
      </c>
      <c r="G368" s="54" t="s">
        <v>47</v>
      </c>
      <c r="H368" s="54" t="s">
        <v>13</v>
      </c>
      <c r="I368" s="60">
        <v>12000</v>
      </c>
      <c r="J368" s="54" t="s">
        <v>10</v>
      </c>
      <c r="K368" s="73">
        <v>5</v>
      </c>
      <c r="L368" s="65"/>
      <c r="M368" s="47">
        <f t="shared" si="7"/>
        <v>0</v>
      </c>
      <c r="N368" s="45"/>
    </row>
    <row r="369" spans="2:14" x14ac:dyDescent="0.3">
      <c r="B369" s="67" t="s">
        <v>365</v>
      </c>
      <c r="C369" s="54" t="s">
        <v>1312</v>
      </c>
      <c r="D369" s="54">
        <v>8</v>
      </c>
      <c r="E369" s="52" t="s">
        <v>765</v>
      </c>
      <c r="F369" s="54" t="s">
        <v>12</v>
      </c>
      <c r="G369" s="54" t="s">
        <v>44</v>
      </c>
      <c r="H369" s="54" t="s">
        <v>13</v>
      </c>
      <c r="I369" s="36">
        <v>2000</v>
      </c>
      <c r="J369" s="54" t="s">
        <v>11</v>
      </c>
      <c r="K369" s="73">
        <v>117</v>
      </c>
      <c r="L369" s="65"/>
      <c r="M369" s="47">
        <f t="shared" si="7"/>
        <v>0</v>
      </c>
      <c r="N369" s="45"/>
    </row>
    <row r="370" spans="2:14" x14ac:dyDescent="0.3">
      <c r="B370" s="67" t="s">
        <v>367</v>
      </c>
      <c r="C370" s="54" t="s">
        <v>1312</v>
      </c>
      <c r="D370" s="54">
        <v>8</v>
      </c>
      <c r="E370" s="52" t="s">
        <v>767</v>
      </c>
      <c r="F370" s="54" t="s">
        <v>12</v>
      </c>
      <c r="G370" s="54" t="s">
        <v>44</v>
      </c>
      <c r="H370" s="54" t="s">
        <v>13</v>
      </c>
      <c r="I370" s="60">
        <v>10000</v>
      </c>
      <c r="J370" s="54" t="s">
        <v>11</v>
      </c>
      <c r="K370" s="73">
        <v>14</v>
      </c>
      <c r="L370" s="65"/>
      <c r="M370" s="47">
        <f t="shared" si="7"/>
        <v>0</v>
      </c>
      <c r="N370" s="45"/>
    </row>
    <row r="371" spans="2:14" x14ac:dyDescent="0.3">
      <c r="B371" s="67" t="s">
        <v>366</v>
      </c>
      <c r="C371" s="54" t="s">
        <v>1312</v>
      </c>
      <c r="D371" s="54">
        <v>8</v>
      </c>
      <c r="E371" s="52" t="s">
        <v>766</v>
      </c>
      <c r="F371" s="54" t="s">
        <v>12</v>
      </c>
      <c r="G371" s="54" t="s">
        <v>44</v>
      </c>
      <c r="H371" s="54" t="s">
        <v>13</v>
      </c>
      <c r="I371" s="60">
        <v>5500</v>
      </c>
      <c r="J371" s="54" t="s">
        <v>10</v>
      </c>
      <c r="K371" s="73">
        <v>43</v>
      </c>
      <c r="L371" s="65"/>
      <c r="M371" s="47">
        <f t="shared" si="7"/>
        <v>0</v>
      </c>
      <c r="N371" s="45"/>
    </row>
    <row r="372" spans="2:14" x14ac:dyDescent="0.3">
      <c r="B372" s="67" t="s">
        <v>374</v>
      </c>
      <c r="C372" s="54" t="s">
        <v>1312</v>
      </c>
      <c r="D372" s="54">
        <v>8</v>
      </c>
      <c r="E372" s="52" t="s">
        <v>774</v>
      </c>
      <c r="F372" s="54" t="s">
        <v>12</v>
      </c>
      <c r="G372" s="54" t="s">
        <v>49</v>
      </c>
      <c r="H372" s="54" t="s">
        <v>13</v>
      </c>
      <c r="I372" s="36">
        <v>1000</v>
      </c>
      <c r="J372" s="54" t="s">
        <v>11</v>
      </c>
      <c r="K372" s="73">
        <v>6</v>
      </c>
      <c r="L372" s="65"/>
      <c r="M372" s="47">
        <f t="shared" si="7"/>
        <v>0</v>
      </c>
      <c r="N372" s="45"/>
    </row>
    <row r="373" spans="2:14" x14ac:dyDescent="0.3">
      <c r="B373" s="67" t="s">
        <v>400</v>
      </c>
      <c r="C373" s="54" t="s">
        <v>1312</v>
      </c>
      <c r="D373" s="54">
        <v>8</v>
      </c>
      <c r="E373" s="52" t="s">
        <v>799</v>
      </c>
      <c r="F373" s="54" t="s">
        <v>12</v>
      </c>
      <c r="G373" s="54" t="s">
        <v>48</v>
      </c>
      <c r="H373" s="54" t="s">
        <v>13</v>
      </c>
      <c r="I373" s="60">
        <v>6500</v>
      </c>
      <c r="J373" s="54" t="s">
        <v>10</v>
      </c>
      <c r="K373" s="73">
        <v>45</v>
      </c>
      <c r="L373" s="65"/>
      <c r="M373" s="47">
        <f t="shared" si="7"/>
        <v>0</v>
      </c>
      <c r="N373" s="45"/>
    </row>
    <row r="374" spans="2:14" x14ac:dyDescent="0.3">
      <c r="B374" s="67" t="s">
        <v>370</v>
      </c>
      <c r="C374" s="54" t="s">
        <v>1312</v>
      </c>
      <c r="D374" s="54">
        <v>8</v>
      </c>
      <c r="E374" s="52" t="s">
        <v>770</v>
      </c>
      <c r="F374" s="54" t="s">
        <v>12</v>
      </c>
      <c r="G374" s="54" t="s">
        <v>50</v>
      </c>
      <c r="H374" s="54" t="s">
        <v>13</v>
      </c>
      <c r="I374" s="36">
        <v>3000</v>
      </c>
      <c r="J374" s="54" t="s">
        <v>10</v>
      </c>
      <c r="K374" s="73">
        <v>6</v>
      </c>
      <c r="L374" s="65"/>
      <c r="M374" s="47">
        <f t="shared" si="7"/>
        <v>0</v>
      </c>
      <c r="N374" s="45"/>
    </row>
    <row r="375" spans="2:14" x14ac:dyDescent="0.3">
      <c r="B375" s="67" t="s">
        <v>401</v>
      </c>
      <c r="C375" s="54" t="s">
        <v>1312</v>
      </c>
      <c r="D375" s="54">
        <v>8</v>
      </c>
      <c r="E375" s="52" t="s">
        <v>800</v>
      </c>
      <c r="F375" s="54" t="s">
        <v>12</v>
      </c>
      <c r="G375" s="54" t="s">
        <v>51</v>
      </c>
      <c r="H375" s="54" t="s">
        <v>13</v>
      </c>
      <c r="I375" s="46">
        <v>6000</v>
      </c>
      <c r="J375" s="54" t="s">
        <v>10</v>
      </c>
      <c r="K375" s="73">
        <v>97</v>
      </c>
      <c r="L375" s="65"/>
      <c r="M375" s="47">
        <f t="shared" si="7"/>
        <v>0</v>
      </c>
      <c r="N375" s="45"/>
    </row>
    <row r="376" spans="2:14" x14ac:dyDescent="0.3">
      <c r="B376" s="67" t="s">
        <v>373</v>
      </c>
      <c r="C376" s="54" t="s">
        <v>1312</v>
      </c>
      <c r="D376" s="54">
        <v>8</v>
      </c>
      <c r="E376" s="52" t="s">
        <v>773</v>
      </c>
      <c r="F376" s="54" t="s">
        <v>12</v>
      </c>
      <c r="G376" s="54" t="s">
        <v>52</v>
      </c>
      <c r="H376" s="54" t="s">
        <v>13</v>
      </c>
      <c r="I376" s="60">
        <v>9500</v>
      </c>
      <c r="J376" s="54" t="s">
        <v>10</v>
      </c>
      <c r="K376" s="73">
        <v>476</v>
      </c>
      <c r="L376" s="65"/>
      <c r="M376" s="47">
        <f t="shared" si="7"/>
        <v>0</v>
      </c>
      <c r="N376" s="45"/>
    </row>
    <row r="377" spans="2:14" x14ac:dyDescent="0.3">
      <c r="B377" s="67" t="s">
        <v>403</v>
      </c>
      <c r="C377" s="54" t="s">
        <v>1312</v>
      </c>
      <c r="D377" s="54">
        <v>8</v>
      </c>
      <c r="E377" s="52" t="s">
        <v>802</v>
      </c>
      <c r="F377" s="54" t="s">
        <v>12</v>
      </c>
      <c r="G377" s="54" t="s">
        <v>53</v>
      </c>
      <c r="H377" s="54" t="s">
        <v>13</v>
      </c>
      <c r="I377" s="60">
        <v>8500</v>
      </c>
      <c r="J377" s="54" t="s">
        <v>10</v>
      </c>
      <c r="K377" s="73">
        <v>13</v>
      </c>
      <c r="L377" s="65"/>
      <c r="M377" s="47">
        <f t="shared" si="7"/>
        <v>0</v>
      </c>
      <c r="N377" s="45"/>
    </row>
    <row r="378" spans="2:14" x14ac:dyDescent="0.3">
      <c r="B378" s="67" t="s">
        <v>371</v>
      </c>
      <c r="C378" s="54" t="s">
        <v>1312</v>
      </c>
      <c r="D378" s="54">
        <v>8</v>
      </c>
      <c r="E378" s="52" t="s">
        <v>771</v>
      </c>
      <c r="F378" s="54" t="s">
        <v>12</v>
      </c>
      <c r="G378" s="54" t="s">
        <v>54</v>
      </c>
      <c r="H378" s="54" t="s">
        <v>13</v>
      </c>
      <c r="I378" s="60">
        <v>8500</v>
      </c>
      <c r="J378" s="54" t="s">
        <v>10</v>
      </c>
      <c r="K378" s="73">
        <v>20</v>
      </c>
      <c r="L378" s="65"/>
      <c r="M378" s="47">
        <f t="shared" si="7"/>
        <v>0</v>
      </c>
      <c r="N378" s="45"/>
    </row>
    <row r="379" spans="2:14" x14ac:dyDescent="0.3">
      <c r="B379" s="67" t="s">
        <v>372</v>
      </c>
      <c r="C379" s="54" t="s">
        <v>1312</v>
      </c>
      <c r="D379" s="54">
        <v>8</v>
      </c>
      <c r="E379" s="52" t="s">
        <v>772</v>
      </c>
      <c r="F379" s="54" t="s">
        <v>12</v>
      </c>
      <c r="G379" s="54" t="s">
        <v>55</v>
      </c>
      <c r="H379" s="54" t="s">
        <v>13</v>
      </c>
      <c r="I379" s="60">
        <v>17500</v>
      </c>
      <c r="J379" s="54" t="s">
        <v>10</v>
      </c>
      <c r="K379" s="73">
        <v>18</v>
      </c>
      <c r="L379" s="65"/>
      <c r="M379" s="47">
        <f t="shared" si="7"/>
        <v>0</v>
      </c>
      <c r="N379" s="45"/>
    </row>
    <row r="380" spans="2:14" x14ac:dyDescent="0.3">
      <c r="B380" s="67" t="s">
        <v>375</v>
      </c>
      <c r="C380" s="54" t="s">
        <v>1312</v>
      </c>
      <c r="D380" s="54">
        <v>8</v>
      </c>
      <c r="E380" s="52" t="s">
        <v>775</v>
      </c>
      <c r="F380" s="54" t="s">
        <v>12</v>
      </c>
      <c r="G380" s="54" t="s">
        <v>56</v>
      </c>
      <c r="H380" s="54" t="s">
        <v>13</v>
      </c>
      <c r="I380" s="60">
        <v>6500</v>
      </c>
      <c r="J380" s="54" t="s">
        <v>10</v>
      </c>
      <c r="K380" s="73">
        <v>151</v>
      </c>
      <c r="L380" s="65"/>
      <c r="M380" s="47">
        <f t="shared" si="7"/>
        <v>0</v>
      </c>
      <c r="N380" s="45"/>
    </row>
    <row r="381" spans="2:14" x14ac:dyDescent="0.3">
      <c r="B381" s="67" t="s">
        <v>376</v>
      </c>
      <c r="C381" s="54" t="s">
        <v>1312</v>
      </c>
      <c r="D381" s="54">
        <v>8</v>
      </c>
      <c r="E381" s="52" t="s">
        <v>776</v>
      </c>
      <c r="F381" s="54" t="s">
        <v>12</v>
      </c>
      <c r="G381" s="54" t="s">
        <v>57</v>
      </c>
      <c r="H381" s="54" t="s">
        <v>13</v>
      </c>
      <c r="I381" s="36">
        <v>1000</v>
      </c>
      <c r="J381" s="54" t="s">
        <v>11</v>
      </c>
      <c r="K381" s="73">
        <v>2</v>
      </c>
      <c r="L381" s="65"/>
      <c r="M381" s="47">
        <f t="shared" si="7"/>
        <v>0</v>
      </c>
      <c r="N381" s="45"/>
    </row>
    <row r="382" spans="2:14" x14ac:dyDescent="0.3">
      <c r="B382" s="42" t="s">
        <v>520</v>
      </c>
      <c r="C382" s="5" t="s">
        <v>1313</v>
      </c>
      <c r="D382" s="5">
        <v>8</v>
      </c>
      <c r="E382" s="41" t="s">
        <v>848</v>
      </c>
      <c r="F382" s="3" t="s">
        <v>12</v>
      </c>
      <c r="G382" s="3" t="s">
        <v>230</v>
      </c>
      <c r="H382" s="9" t="s">
        <v>13</v>
      </c>
      <c r="I382" s="3">
        <v>165</v>
      </c>
      <c r="J382" s="3" t="s">
        <v>10</v>
      </c>
      <c r="K382" s="72">
        <v>100</v>
      </c>
      <c r="L382" s="62"/>
      <c r="M382" s="47">
        <f t="shared" ref="M382:M408" si="8">+K382*L382</f>
        <v>0</v>
      </c>
      <c r="N382" s="45"/>
    </row>
    <row r="383" spans="2:14" x14ac:dyDescent="0.3">
      <c r="B383" s="42" t="s">
        <v>519</v>
      </c>
      <c r="C383" s="5" t="s">
        <v>1313</v>
      </c>
      <c r="D383" s="5">
        <v>8</v>
      </c>
      <c r="E383" s="41" t="s">
        <v>847</v>
      </c>
      <c r="F383" s="3" t="s">
        <v>12</v>
      </c>
      <c r="G383" s="3" t="s">
        <v>230</v>
      </c>
      <c r="H383" s="9" t="s">
        <v>13</v>
      </c>
      <c r="I383" s="3">
        <v>190</v>
      </c>
      <c r="J383" s="3" t="s">
        <v>10</v>
      </c>
      <c r="K383" s="72">
        <v>150</v>
      </c>
      <c r="L383" s="62"/>
      <c r="M383" s="47">
        <f t="shared" si="8"/>
        <v>0</v>
      </c>
      <c r="N383" s="45"/>
    </row>
    <row r="384" spans="2:14" x14ac:dyDescent="0.3">
      <c r="B384" s="42" t="s">
        <v>517</v>
      </c>
      <c r="C384" s="5" t="s">
        <v>1313</v>
      </c>
      <c r="D384" s="5">
        <v>8</v>
      </c>
      <c r="E384" s="41" t="s">
        <v>845</v>
      </c>
      <c r="F384" s="3" t="s">
        <v>12</v>
      </c>
      <c r="G384" s="3" t="s">
        <v>228</v>
      </c>
      <c r="H384" s="9" t="s">
        <v>13</v>
      </c>
      <c r="I384" s="3">
        <v>520</v>
      </c>
      <c r="J384" s="3" t="s">
        <v>11</v>
      </c>
      <c r="K384" s="72">
        <v>2</v>
      </c>
      <c r="L384" s="62"/>
      <c r="M384" s="47">
        <f t="shared" si="8"/>
        <v>0</v>
      </c>
      <c r="N384" s="45"/>
    </row>
    <row r="385" spans="2:14" x14ac:dyDescent="0.3">
      <c r="B385" s="42" t="s">
        <v>527</v>
      </c>
      <c r="C385" s="5" t="s">
        <v>1313</v>
      </c>
      <c r="D385" s="5">
        <v>8</v>
      </c>
      <c r="E385" s="41" t="s">
        <v>855</v>
      </c>
      <c r="F385" s="3" t="s">
        <v>12</v>
      </c>
      <c r="G385" s="3" t="s">
        <v>228</v>
      </c>
      <c r="H385" s="9" t="s">
        <v>13</v>
      </c>
      <c r="I385" s="3">
        <v>520</v>
      </c>
      <c r="J385" s="3" t="s">
        <v>11</v>
      </c>
      <c r="K385" s="72">
        <v>2</v>
      </c>
      <c r="L385" s="62"/>
      <c r="M385" s="47">
        <f t="shared" si="8"/>
        <v>0</v>
      </c>
      <c r="N385" s="45"/>
    </row>
    <row r="386" spans="2:14" x14ac:dyDescent="0.3">
      <c r="B386" s="42" t="s">
        <v>522</v>
      </c>
      <c r="C386" s="5" t="s">
        <v>1313</v>
      </c>
      <c r="D386" s="5">
        <v>8</v>
      </c>
      <c r="E386" s="41" t="s">
        <v>850</v>
      </c>
      <c r="F386" s="3" t="s">
        <v>12</v>
      </c>
      <c r="G386" s="3" t="s">
        <v>227</v>
      </c>
      <c r="H386" s="9" t="s">
        <v>13</v>
      </c>
      <c r="I386" s="3">
        <v>500</v>
      </c>
      <c r="J386" s="3" t="s">
        <v>11</v>
      </c>
      <c r="K386" s="72">
        <v>8</v>
      </c>
      <c r="L386" s="62"/>
      <c r="M386" s="47">
        <f t="shared" si="8"/>
        <v>0</v>
      </c>
      <c r="N386" s="45"/>
    </row>
    <row r="387" spans="2:14" x14ac:dyDescent="0.3">
      <c r="B387" s="42" t="s">
        <v>524</v>
      </c>
      <c r="C387" s="5" t="s">
        <v>1313</v>
      </c>
      <c r="D387" s="5">
        <v>8</v>
      </c>
      <c r="E387" s="41" t="s">
        <v>852</v>
      </c>
      <c r="F387" s="3" t="s">
        <v>12</v>
      </c>
      <c r="G387" s="3" t="s">
        <v>231</v>
      </c>
      <c r="H387" s="9" t="s">
        <v>13</v>
      </c>
      <c r="I387" s="36">
        <v>1000</v>
      </c>
      <c r="J387" s="3" t="s">
        <v>10</v>
      </c>
      <c r="K387" s="72">
        <v>5</v>
      </c>
      <c r="L387" s="62"/>
      <c r="M387" s="47">
        <f t="shared" si="8"/>
        <v>0</v>
      </c>
      <c r="N387" s="45"/>
    </row>
    <row r="388" spans="2:14" x14ac:dyDescent="0.3">
      <c r="B388" s="42" t="s">
        <v>526</v>
      </c>
      <c r="C388" s="5" t="s">
        <v>1313</v>
      </c>
      <c r="D388" s="5">
        <v>8</v>
      </c>
      <c r="E388" s="41" t="s">
        <v>854</v>
      </c>
      <c r="F388" s="3" t="s">
        <v>12</v>
      </c>
      <c r="G388" s="3" t="s">
        <v>231</v>
      </c>
      <c r="H388" s="9" t="s">
        <v>13</v>
      </c>
      <c r="I388" s="3">
        <v>580</v>
      </c>
      <c r="J388" s="3" t="s">
        <v>10</v>
      </c>
      <c r="K388" s="72">
        <v>4</v>
      </c>
      <c r="L388" s="62"/>
      <c r="M388" s="47">
        <f t="shared" si="8"/>
        <v>0</v>
      </c>
      <c r="N388" s="45"/>
    </row>
    <row r="389" spans="2:14" x14ac:dyDescent="0.3">
      <c r="B389" s="42" t="s">
        <v>528</v>
      </c>
      <c r="C389" s="5" t="s">
        <v>1313</v>
      </c>
      <c r="D389" s="5">
        <v>8</v>
      </c>
      <c r="E389" s="41" t="s">
        <v>856</v>
      </c>
      <c r="F389" s="3" t="s">
        <v>12</v>
      </c>
      <c r="G389" s="3" t="s">
        <v>227</v>
      </c>
      <c r="H389" s="9" t="s">
        <v>13</v>
      </c>
      <c r="I389" s="3">
        <v>500</v>
      </c>
      <c r="J389" s="3" t="s">
        <v>11</v>
      </c>
      <c r="K389" s="72">
        <v>8</v>
      </c>
      <c r="L389" s="62"/>
      <c r="M389" s="47">
        <f t="shared" si="8"/>
        <v>0</v>
      </c>
      <c r="N389" s="45"/>
    </row>
    <row r="390" spans="2:14" x14ac:dyDescent="0.3">
      <c r="B390" s="42" t="s">
        <v>523</v>
      </c>
      <c r="C390" s="5" t="s">
        <v>1313</v>
      </c>
      <c r="D390" s="5">
        <v>8</v>
      </c>
      <c r="E390" s="41" t="s">
        <v>851</v>
      </c>
      <c r="F390" s="3" t="s">
        <v>12</v>
      </c>
      <c r="G390" s="3" t="s">
        <v>229</v>
      </c>
      <c r="H390" s="9" t="s">
        <v>13</v>
      </c>
      <c r="I390" s="3">
        <v>560</v>
      </c>
      <c r="J390" s="3" t="s">
        <v>10</v>
      </c>
      <c r="K390" s="72">
        <v>120</v>
      </c>
      <c r="L390" s="62"/>
      <c r="M390" s="47">
        <f t="shared" si="8"/>
        <v>0</v>
      </c>
      <c r="N390" s="45"/>
    </row>
    <row r="391" spans="2:14" x14ac:dyDescent="0.3">
      <c r="B391" s="42" t="s">
        <v>521</v>
      </c>
      <c r="C391" s="5" t="s">
        <v>1313</v>
      </c>
      <c r="D391" s="5">
        <v>8</v>
      </c>
      <c r="E391" s="41" t="s">
        <v>849</v>
      </c>
      <c r="F391" s="3" t="s">
        <v>12</v>
      </c>
      <c r="G391" s="3" t="s">
        <v>229</v>
      </c>
      <c r="H391" s="9" t="s">
        <v>13</v>
      </c>
      <c r="I391" s="3">
        <v>560</v>
      </c>
      <c r="J391" s="3" t="s">
        <v>11</v>
      </c>
      <c r="K391" s="72">
        <v>80</v>
      </c>
      <c r="L391" s="62"/>
      <c r="M391" s="47">
        <f t="shared" si="8"/>
        <v>0</v>
      </c>
      <c r="N391" s="45"/>
    </row>
    <row r="392" spans="2:14" x14ac:dyDescent="0.3">
      <c r="B392" s="42" t="s">
        <v>529</v>
      </c>
      <c r="C392" s="5" t="s">
        <v>1313</v>
      </c>
      <c r="D392" s="5">
        <v>8</v>
      </c>
      <c r="E392" s="41" t="s">
        <v>857</v>
      </c>
      <c r="F392" s="3" t="s">
        <v>12</v>
      </c>
      <c r="G392" s="3" t="s">
        <v>227</v>
      </c>
      <c r="H392" s="9" t="s">
        <v>13</v>
      </c>
      <c r="I392" s="3">
        <v>500</v>
      </c>
      <c r="J392" s="3" t="s">
        <v>11</v>
      </c>
      <c r="K392" s="72">
        <v>2</v>
      </c>
      <c r="L392" s="62"/>
      <c r="M392" s="47">
        <f t="shared" si="8"/>
        <v>0</v>
      </c>
      <c r="N392" s="45"/>
    </row>
    <row r="393" spans="2:14" x14ac:dyDescent="0.3">
      <c r="B393" s="42" t="s">
        <v>534</v>
      </c>
      <c r="C393" s="5" t="s">
        <v>1313</v>
      </c>
      <c r="D393" s="5">
        <v>8</v>
      </c>
      <c r="E393" s="41" t="s">
        <v>862</v>
      </c>
      <c r="F393" s="3" t="s">
        <v>12</v>
      </c>
      <c r="G393" s="3" t="s">
        <v>218</v>
      </c>
      <c r="H393" s="9" t="s">
        <v>13</v>
      </c>
      <c r="I393" s="36">
        <v>2500</v>
      </c>
      <c r="J393" s="3" t="s">
        <v>10</v>
      </c>
      <c r="K393" s="72">
        <v>4</v>
      </c>
      <c r="L393" s="62"/>
      <c r="M393" s="47">
        <f t="shared" si="8"/>
        <v>0</v>
      </c>
      <c r="N393" s="45"/>
    </row>
    <row r="394" spans="2:14" x14ac:dyDescent="0.3">
      <c r="B394" s="42" t="s">
        <v>535</v>
      </c>
      <c r="C394" s="5" t="s">
        <v>1313</v>
      </c>
      <c r="D394" s="5">
        <v>8</v>
      </c>
      <c r="E394" s="41" t="s">
        <v>863</v>
      </c>
      <c r="F394" s="3" t="s">
        <v>12</v>
      </c>
      <c r="G394" s="3" t="s">
        <v>218</v>
      </c>
      <c r="H394" s="9" t="s">
        <v>13</v>
      </c>
      <c r="I394" s="36">
        <v>2500</v>
      </c>
      <c r="J394" s="3" t="s">
        <v>10</v>
      </c>
      <c r="K394" s="72">
        <v>4</v>
      </c>
      <c r="L394" s="62"/>
      <c r="M394" s="47">
        <f t="shared" si="8"/>
        <v>0</v>
      </c>
      <c r="N394" s="45"/>
    </row>
    <row r="395" spans="2:14" x14ac:dyDescent="0.3">
      <c r="B395" s="42" t="s">
        <v>536</v>
      </c>
      <c r="C395" s="5" t="s">
        <v>1313</v>
      </c>
      <c r="D395" s="5">
        <v>8</v>
      </c>
      <c r="E395" s="41" t="s">
        <v>864</v>
      </c>
      <c r="F395" s="3" t="s">
        <v>12</v>
      </c>
      <c r="G395" s="3" t="s">
        <v>218</v>
      </c>
      <c r="H395" s="9" t="s">
        <v>13</v>
      </c>
      <c r="I395" s="36">
        <v>2500</v>
      </c>
      <c r="J395" s="3" t="s">
        <v>10</v>
      </c>
      <c r="K395" s="72">
        <v>3</v>
      </c>
      <c r="L395" s="62"/>
      <c r="M395" s="47">
        <f t="shared" si="8"/>
        <v>0</v>
      </c>
      <c r="N395" s="45"/>
    </row>
    <row r="396" spans="2:14" x14ac:dyDescent="0.3">
      <c r="B396" s="42" t="s">
        <v>533</v>
      </c>
      <c r="C396" s="5" t="s">
        <v>1313</v>
      </c>
      <c r="D396" s="5">
        <v>8</v>
      </c>
      <c r="E396" s="41" t="s">
        <v>861</v>
      </c>
      <c r="F396" s="3" t="s">
        <v>12</v>
      </c>
      <c r="G396" s="3" t="s">
        <v>218</v>
      </c>
      <c r="H396" s="9" t="s">
        <v>13</v>
      </c>
      <c r="I396" s="36">
        <v>3200</v>
      </c>
      <c r="J396" s="3" t="s">
        <v>10</v>
      </c>
      <c r="K396" s="72">
        <v>4</v>
      </c>
      <c r="L396" s="62"/>
      <c r="M396" s="47">
        <f t="shared" si="8"/>
        <v>0</v>
      </c>
      <c r="N396" s="45"/>
    </row>
    <row r="397" spans="2:14" x14ac:dyDescent="0.3">
      <c r="B397" s="42" t="s">
        <v>547</v>
      </c>
      <c r="C397" s="5" t="s">
        <v>1313</v>
      </c>
      <c r="D397" s="5">
        <v>8</v>
      </c>
      <c r="E397" s="41" t="s">
        <v>875</v>
      </c>
      <c r="F397" s="3" t="s">
        <v>12</v>
      </c>
      <c r="G397" s="3" t="s">
        <v>225</v>
      </c>
      <c r="H397" s="9" t="s">
        <v>13</v>
      </c>
      <c r="I397" s="36">
        <v>6000</v>
      </c>
      <c r="J397" s="3" t="s">
        <v>10</v>
      </c>
      <c r="K397" s="72">
        <v>15</v>
      </c>
      <c r="L397" s="62"/>
      <c r="M397" s="47">
        <f t="shared" si="8"/>
        <v>0</v>
      </c>
      <c r="N397" s="45"/>
    </row>
    <row r="398" spans="2:14" x14ac:dyDescent="0.3">
      <c r="B398" s="42" t="s">
        <v>548</v>
      </c>
      <c r="C398" s="5" t="s">
        <v>1313</v>
      </c>
      <c r="D398" s="5">
        <v>8</v>
      </c>
      <c r="E398" s="41" t="s">
        <v>876</v>
      </c>
      <c r="F398" s="3" t="s">
        <v>12</v>
      </c>
      <c r="G398" s="3" t="s">
        <v>225</v>
      </c>
      <c r="H398" s="9" t="s">
        <v>13</v>
      </c>
      <c r="I398" s="36">
        <v>6000</v>
      </c>
      <c r="J398" s="3" t="s">
        <v>10</v>
      </c>
      <c r="K398" s="72">
        <v>10</v>
      </c>
      <c r="L398" s="62"/>
      <c r="M398" s="47">
        <f t="shared" si="8"/>
        <v>0</v>
      </c>
      <c r="N398" s="45"/>
    </row>
    <row r="399" spans="2:14" x14ac:dyDescent="0.3">
      <c r="B399" s="42" t="s">
        <v>549</v>
      </c>
      <c r="C399" s="5" t="s">
        <v>1313</v>
      </c>
      <c r="D399" s="5">
        <v>8</v>
      </c>
      <c r="E399" s="41" t="s">
        <v>877</v>
      </c>
      <c r="F399" s="3" t="s">
        <v>12</v>
      </c>
      <c r="G399" s="3" t="s">
        <v>225</v>
      </c>
      <c r="H399" s="9" t="s">
        <v>13</v>
      </c>
      <c r="I399" s="36">
        <v>6000</v>
      </c>
      <c r="J399" s="3" t="s">
        <v>10</v>
      </c>
      <c r="K399" s="72">
        <v>10</v>
      </c>
      <c r="L399" s="62"/>
      <c r="M399" s="47">
        <f t="shared" si="8"/>
        <v>0</v>
      </c>
      <c r="N399" s="45"/>
    </row>
    <row r="400" spans="2:14" x14ac:dyDescent="0.3">
      <c r="B400" s="42" t="s">
        <v>542</v>
      </c>
      <c r="C400" s="5" t="s">
        <v>1313</v>
      </c>
      <c r="D400" s="5">
        <v>8</v>
      </c>
      <c r="E400" s="41" t="s">
        <v>870</v>
      </c>
      <c r="F400" s="3" t="s">
        <v>12</v>
      </c>
      <c r="G400" s="3" t="s">
        <v>225</v>
      </c>
      <c r="H400" s="9" t="s">
        <v>13</v>
      </c>
      <c r="I400" s="36">
        <v>6000</v>
      </c>
      <c r="J400" s="3" t="s">
        <v>10</v>
      </c>
      <c r="K400" s="72">
        <v>20</v>
      </c>
      <c r="L400" s="62"/>
      <c r="M400" s="47">
        <f t="shared" si="8"/>
        <v>0</v>
      </c>
      <c r="N400" s="45"/>
    </row>
    <row r="401" spans="2:14" x14ac:dyDescent="0.3">
      <c r="B401" s="42" t="s">
        <v>540</v>
      </c>
      <c r="C401" s="5" t="s">
        <v>1313</v>
      </c>
      <c r="D401" s="5">
        <v>8</v>
      </c>
      <c r="E401" s="41" t="s">
        <v>868</v>
      </c>
      <c r="F401" s="3" t="s">
        <v>12</v>
      </c>
      <c r="G401" s="3" t="s">
        <v>223</v>
      </c>
      <c r="H401" s="9" t="s">
        <v>13</v>
      </c>
      <c r="I401" s="36">
        <v>6900</v>
      </c>
      <c r="J401" s="3" t="s">
        <v>10</v>
      </c>
      <c r="K401" s="72">
        <v>60</v>
      </c>
      <c r="L401" s="62"/>
      <c r="M401" s="47">
        <f t="shared" si="8"/>
        <v>0</v>
      </c>
      <c r="N401" s="45"/>
    </row>
    <row r="402" spans="2:14" x14ac:dyDescent="0.3">
      <c r="B402" s="42" t="s">
        <v>518</v>
      </c>
      <c r="C402" s="5" t="s">
        <v>1313</v>
      </c>
      <c r="D402" s="5">
        <v>8</v>
      </c>
      <c r="E402" s="41" t="s">
        <v>846</v>
      </c>
      <c r="F402" s="3" t="s">
        <v>12</v>
      </c>
      <c r="G402" s="3" t="s">
        <v>221</v>
      </c>
      <c r="H402" s="9" t="s">
        <v>13</v>
      </c>
      <c r="I402" s="36">
        <v>7000</v>
      </c>
      <c r="J402" s="3" t="s">
        <v>10</v>
      </c>
      <c r="K402" s="72">
        <v>200</v>
      </c>
      <c r="L402" s="62"/>
      <c r="M402" s="47">
        <f t="shared" si="8"/>
        <v>0</v>
      </c>
      <c r="N402" s="45"/>
    </row>
    <row r="403" spans="2:14" x14ac:dyDescent="0.3">
      <c r="B403" s="42" t="s">
        <v>541</v>
      </c>
      <c r="C403" s="5" t="s">
        <v>1313</v>
      </c>
      <c r="D403" s="5">
        <v>8</v>
      </c>
      <c r="E403" s="41" t="s">
        <v>869</v>
      </c>
      <c r="F403" s="3" t="s">
        <v>12</v>
      </c>
      <c r="G403" s="3" t="s">
        <v>226</v>
      </c>
      <c r="H403" s="9" t="s">
        <v>13</v>
      </c>
      <c r="I403" s="36">
        <v>2300</v>
      </c>
      <c r="J403" s="3" t="s">
        <v>11</v>
      </c>
      <c r="K403" s="72">
        <v>320</v>
      </c>
      <c r="L403" s="62"/>
      <c r="M403" s="47">
        <f t="shared" si="8"/>
        <v>0</v>
      </c>
      <c r="N403" s="45"/>
    </row>
    <row r="404" spans="2:14" x14ac:dyDescent="0.3">
      <c r="B404" s="42" t="s">
        <v>546</v>
      </c>
      <c r="C404" s="5" t="s">
        <v>1313</v>
      </c>
      <c r="D404" s="5">
        <v>8</v>
      </c>
      <c r="E404" s="41" t="s">
        <v>874</v>
      </c>
      <c r="F404" s="3" t="s">
        <v>12</v>
      </c>
      <c r="G404" s="3" t="s">
        <v>219</v>
      </c>
      <c r="H404" s="9" t="s">
        <v>13</v>
      </c>
      <c r="I404" s="36">
        <v>6000</v>
      </c>
      <c r="J404" s="3" t="s">
        <v>10</v>
      </c>
      <c r="K404" s="72">
        <v>60</v>
      </c>
      <c r="L404" s="62"/>
      <c r="M404" s="47">
        <f t="shared" si="8"/>
        <v>0</v>
      </c>
      <c r="N404" s="45"/>
    </row>
    <row r="405" spans="2:14" x14ac:dyDescent="0.3">
      <c r="B405" s="42" t="s">
        <v>525</v>
      </c>
      <c r="C405" s="5" t="s">
        <v>1313</v>
      </c>
      <c r="D405" s="5">
        <v>8</v>
      </c>
      <c r="E405" s="41" t="s">
        <v>853</v>
      </c>
      <c r="F405" s="3" t="s">
        <v>12</v>
      </c>
      <c r="G405" s="3" t="s">
        <v>217</v>
      </c>
      <c r="H405" s="9" t="s">
        <v>13</v>
      </c>
      <c r="I405" s="36">
        <v>4000</v>
      </c>
      <c r="J405" s="3" t="s">
        <v>10</v>
      </c>
      <c r="K405" s="72">
        <v>4</v>
      </c>
      <c r="L405" s="62"/>
      <c r="M405" s="47">
        <f t="shared" si="8"/>
        <v>0</v>
      </c>
      <c r="N405" s="45"/>
    </row>
    <row r="406" spans="2:14" x14ac:dyDescent="0.3">
      <c r="B406" s="42" t="s">
        <v>532</v>
      </c>
      <c r="C406" s="5" t="s">
        <v>1313</v>
      </c>
      <c r="D406" s="5">
        <v>8</v>
      </c>
      <c r="E406" s="41" t="s">
        <v>860</v>
      </c>
      <c r="F406" s="3" t="s">
        <v>12</v>
      </c>
      <c r="G406" s="3" t="s">
        <v>217</v>
      </c>
      <c r="H406" s="9" t="s">
        <v>13</v>
      </c>
      <c r="I406" s="36">
        <v>2601</v>
      </c>
      <c r="J406" s="3" t="s">
        <v>11</v>
      </c>
      <c r="K406" s="72">
        <v>3</v>
      </c>
      <c r="L406" s="62"/>
      <c r="M406" s="47">
        <f t="shared" si="8"/>
        <v>0</v>
      </c>
      <c r="N406" s="45"/>
    </row>
    <row r="407" spans="2:14" x14ac:dyDescent="0.3">
      <c r="B407" s="42" t="s">
        <v>530</v>
      </c>
      <c r="C407" s="5" t="s">
        <v>1313</v>
      </c>
      <c r="D407" s="5">
        <v>8</v>
      </c>
      <c r="E407" s="41" t="s">
        <v>858</v>
      </c>
      <c r="F407" s="3" t="s">
        <v>12</v>
      </c>
      <c r="G407" s="3" t="s">
        <v>217</v>
      </c>
      <c r="H407" s="9" t="s">
        <v>13</v>
      </c>
      <c r="I407" s="36">
        <v>2600</v>
      </c>
      <c r="J407" s="3" t="s">
        <v>11</v>
      </c>
      <c r="K407" s="72">
        <v>5</v>
      </c>
      <c r="L407" s="62"/>
      <c r="M407" s="47">
        <f t="shared" si="8"/>
        <v>0</v>
      </c>
      <c r="N407" s="45"/>
    </row>
    <row r="408" spans="2:14" x14ac:dyDescent="0.3">
      <c r="B408" s="42" t="s">
        <v>531</v>
      </c>
      <c r="C408" s="5" t="s">
        <v>1313</v>
      </c>
      <c r="D408" s="5">
        <v>8</v>
      </c>
      <c r="E408" s="41" t="s">
        <v>859</v>
      </c>
      <c r="F408" s="3" t="s">
        <v>12</v>
      </c>
      <c r="G408" s="3" t="s">
        <v>217</v>
      </c>
      <c r="H408" s="9" t="s">
        <v>13</v>
      </c>
      <c r="I408" s="36">
        <v>2600</v>
      </c>
      <c r="J408" s="3" t="s">
        <v>11</v>
      </c>
      <c r="K408" s="72">
        <v>5</v>
      </c>
      <c r="L408" s="62"/>
      <c r="M408" s="47">
        <f t="shared" si="8"/>
        <v>0</v>
      </c>
      <c r="N408" s="45"/>
    </row>
    <row r="409" spans="2:14" x14ac:dyDescent="0.3">
      <c r="B409" s="42" t="s">
        <v>543</v>
      </c>
      <c r="C409" s="5" t="s">
        <v>1313</v>
      </c>
      <c r="D409" s="5">
        <v>8</v>
      </c>
      <c r="E409" s="41" t="s">
        <v>871</v>
      </c>
      <c r="F409" s="3" t="s">
        <v>12</v>
      </c>
      <c r="G409" s="3" t="s">
        <v>224</v>
      </c>
      <c r="H409" s="9" t="s">
        <v>13</v>
      </c>
      <c r="I409" s="36">
        <v>5000</v>
      </c>
      <c r="J409" s="3" t="s">
        <v>10</v>
      </c>
      <c r="K409" s="72">
        <v>2</v>
      </c>
      <c r="L409" s="62"/>
      <c r="M409" s="47">
        <f t="shared" ref="M409:M469" si="9">+K409*L409</f>
        <v>0</v>
      </c>
      <c r="N409" s="45"/>
    </row>
    <row r="410" spans="2:14" x14ac:dyDescent="0.3">
      <c r="B410" s="42" t="s">
        <v>538</v>
      </c>
      <c r="C410" s="5" t="s">
        <v>1313</v>
      </c>
      <c r="D410" s="5">
        <v>8</v>
      </c>
      <c r="E410" s="41" t="s">
        <v>866</v>
      </c>
      <c r="F410" s="3" t="s">
        <v>12</v>
      </c>
      <c r="G410" s="3" t="s">
        <v>224</v>
      </c>
      <c r="H410" s="9" t="s">
        <v>13</v>
      </c>
      <c r="I410" s="36">
        <v>6500</v>
      </c>
      <c r="J410" s="3" t="s">
        <v>10</v>
      </c>
      <c r="K410" s="72">
        <v>2</v>
      </c>
      <c r="L410" s="62"/>
      <c r="M410" s="47">
        <f t="shared" si="9"/>
        <v>0</v>
      </c>
      <c r="N410" s="45"/>
    </row>
    <row r="411" spans="2:14" x14ac:dyDescent="0.3">
      <c r="B411" s="42" t="s">
        <v>544</v>
      </c>
      <c r="C411" s="5" t="s">
        <v>1313</v>
      </c>
      <c r="D411" s="5">
        <v>8</v>
      </c>
      <c r="E411" s="41" t="s">
        <v>872</v>
      </c>
      <c r="F411" s="3" t="s">
        <v>12</v>
      </c>
      <c r="G411" s="3" t="s">
        <v>224</v>
      </c>
      <c r="H411" s="9" t="s">
        <v>13</v>
      </c>
      <c r="I411" s="36">
        <v>5000</v>
      </c>
      <c r="J411" s="3" t="s">
        <v>10</v>
      </c>
      <c r="K411" s="72">
        <v>2</v>
      </c>
      <c r="L411" s="62"/>
      <c r="M411" s="47">
        <f t="shared" si="9"/>
        <v>0</v>
      </c>
      <c r="N411" s="45"/>
    </row>
    <row r="412" spans="2:14" x14ac:dyDescent="0.3">
      <c r="B412" s="42" t="s">
        <v>545</v>
      </c>
      <c r="C412" s="5" t="s">
        <v>1313</v>
      </c>
      <c r="D412" s="5">
        <v>8</v>
      </c>
      <c r="E412" s="41" t="s">
        <v>873</v>
      </c>
      <c r="F412" s="3" t="s">
        <v>12</v>
      </c>
      <c r="G412" s="3" t="s">
        <v>224</v>
      </c>
      <c r="H412" s="9" t="s">
        <v>13</v>
      </c>
      <c r="I412" s="36">
        <v>5000</v>
      </c>
      <c r="J412" s="3" t="s">
        <v>10</v>
      </c>
      <c r="K412" s="72">
        <v>2</v>
      </c>
      <c r="L412" s="62"/>
      <c r="M412" s="47">
        <f t="shared" si="9"/>
        <v>0</v>
      </c>
      <c r="N412" s="45"/>
    </row>
    <row r="413" spans="2:14" x14ac:dyDescent="0.3">
      <c r="B413" s="42" t="s">
        <v>539</v>
      </c>
      <c r="C413" s="5" t="s">
        <v>1313</v>
      </c>
      <c r="D413" s="5">
        <v>8</v>
      </c>
      <c r="E413" s="41" t="s">
        <v>867</v>
      </c>
      <c r="F413" s="3" t="s">
        <v>12</v>
      </c>
      <c r="G413" s="3" t="s">
        <v>220</v>
      </c>
      <c r="H413" s="9" t="s">
        <v>13</v>
      </c>
      <c r="I413" s="36">
        <v>9000</v>
      </c>
      <c r="J413" s="3" t="s">
        <v>10</v>
      </c>
      <c r="K413" s="72">
        <v>100</v>
      </c>
      <c r="L413" s="62"/>
      <c r="M413" s="47">
        <f t="shared" si="9"/>
        <v>0</v>
      </c>
      <c r="N413" s="45"/>
    </row>
    <row r="414" spans="2:14" x14ac:dyDescent="0.3">
      <c r="B414" s="42" t="s">
        <v>537</v>
      </c>
      <c r="C414" s="5" t="s">
        <v>1313</v>
      </c>
      <c r="D414" s="5">
        <v>8</v>
      </c>
      <c r="E414" s="41" t="s">
        <v>865</v>
      </c>
      <c r="F414" s="3" t="s">
        <v>12</v>
      </c>
      <c r="G414" s="3" t="s">
        <v>222</v>
      </c>
      <c r="H414" s="9" t="s">
        <v>13</v>
      </c>
      <c r="I414" s="36">
        <v>10000</v>
      </c>
      <c r="J414" s="3" t="s">
        <v>10</v>
      </c>
      <c r="K414" s="72">
        <v>320</v>
      </c>
      <c r="L414" s="62"/>
      <c r="M414" s="47">
        <f t="shared" si="9"/>
        <v>0</v>
      </c>
      <c r="N414" s="45"/>
    </row>
    <row r="415" spans="2:14" x14ac:dyDescent="0.3">
      <c r="B415" s="42" t="s">
        <v>1882</v>
      </c>
      <c r="C415" s="5" t="s">
        <v>1314</v>
      </c>
      <c r="D415" s="5">
        <v>9</v>
      </c>
      <c r="E415" s="41" t="s">
        <v>1540</v>
      </c>
      <c r="F415" s="3" t="s">
        <v>12</v>
      </c>
      <c r="G415" s="3" t="s">
        <v>1371</v>
      </c>
      <c r="H415" s="9" t="s">
        <v>1275</v>
      </c>
      <c r="I415" s="3"/>
      <c r="J415" s="3" t="s">
        <v>10</v>
      </c>
      <c r="K415" s="72">
        <v>40</v>
      </c>
      <c r="L415" s="62"/>
      <c r="M415" s="47">
        <f t="shared" si="9"/>
        <v>0</v>
      </c>
      <c r="N415" s="45"/>
    </row>
    <row r="416" spans="2:14" x14ac:dyDescent="0.3">
      <c r="B416" s="42" t="s">
        <v>1883</v>
      </c>
      <c r="C416" s="5" t="s">
        <v>1314</v>
      </c>
      <c r="D416" s="5">
        <v>9</v>
      </c>
      <c r="E416" s="41" t="s">
        <v>1541</v>
      </c>
      <c r="F416" s="3" t="s">
        <v>12</v>
      </c>
      <c r="G416" s="3" t="s">
        <v>1372</v>
      </c>
      <c r="H416" s="3" t="s">
        <v>1275</v>
      </c>
      <c r="I416" s="3"/>
      <c r="J416" s="3" t="s">
        <v>10</v>
      </c>
      <c r="K416" s="72">
        <v>80</v>
      </c>
      <c r="L416" s="62"/>
      <c r="M416" s="47">
        <f t="shared" si="9"/>
        <v>0</v>
      </c>
      <c r="N416" s="45"/>
    </row>
    <row r="417" spans="2:14" x14ac:dyDescent="0.3">
      <c r="B417" s="42" t="s">
        <v>1984</v>
      </c>
      <c r="C417" s="5" t="s">
        <v>1401</v>
      </c>
      <c r="D417" s="5">
        <v>9</v>
      </c>
      <c r="E417" s="55" t="s">
        <v>818</v>
      </c>
      <c r="F417" s="9" t="s">
        <v>12</v>
      </c>
      <c r="G417" s="9" t="s">
        <v>200</v>
      </c>
      <c r="H417" s="9" t="s">
        <v>1275</v>
      </c>
      <c r="I417" s="46"/>
      <c r="J417" s="9" t="s">
        <v>11</v>
      </c>
      <c r="K417" s="72">
        <v>30</v>
      </c>
      <c r="L417" s="62"/>
      <c r="M417" s="47">
        <f t="shared" si="9"/>
        <v>0</v>
      </c>
      <c r="N417" s="45"/>
    </row>
    <row r="418" spans="2:14" x14ac:dyDescent="0.3">
      <c r="B418" s="42" t="s">
        <v>1985</v>
      </c>
      <c r="C418" s="5" t="s">
        <v>1401</v>
      </c>
      <c r="D418" s="5">
        <v>9</v>
      </c>
      <c r="E418" s="41" t="s">
        <v>1557</v>
      </c>
      <c r="F418" s="9" t="s">
        <v>12</v>
      </c>
      <c r="G418" s="3" t="s">
        <v>56</v>
      </c>
      <c r="H418" s="9" t="s">
        <v>1275</v>
      </c>
      <c r="I418" s="9" t="s">
        <v>10</v>
      </c>
      <c r="J418" s="9" t="s">
        <v>10</v>
      </c>
      <c r="K418" s="72">
        <v>10</v>
      </c>
      <c r="L418" s="62"/>
      <c r="M418" s="47">
        <f t="shared" si="9"/>
        <v>0</v>
      </c>
      <c r="N418" s="45"/>
    </row>
    <row r="419" spans="2:14" x14ac:dyDescent="0.3">
      <c r="B419" s="42" t="s">
        <v>2012</v>
      </c>
      <c r="C419" s="5" t="s">
        <v>285</v>
      </c>
      <c r="D419" s="5">
        <v>9</v>
      </c>
      <c r="E419" s="41" t="s">
        <v>1674</v>
      </c>
      <c r="F419" s="3" t="s">
        <v>12</v>
      </c>
      <c r="G419" s="3" t="s">
        <v>1389</v>
      </c>
      <c r="H419" s="3" t="s">
        <v>1275</v>
      </c>
      <c r="I419" s="3" t="s">
        <v>1345</v>
      </c>
      <c r="J419" s="3" t="s">
        <v>10</v>
      </c>
      <c r="K419" s="72">
        <v>2</v>
      </c>
      <c r="L419" s="62"/>
      <c r="M419" s="47">
        <f t="shared" si="9"/>
        <v>0</v>
      </c>
      <c r="N419" s="45"/>
    </row>
    <row r="420" spans="2:14" x14ac:dyDescent="0.3">
      <c r="B420" s="42" t="s">
        <v>2013</v>
      </c>
      <c r="C420" s="5" t="s">
        <v>285</v>
      </c>
      <c r="D420" s="5">
        <v>9</v>
      </c>
      <c r="E420" s="41" t="s">
        <v>1684</v>
      </c>
      <c r="F420" s="3" t="s">
        <v>12</v>
      </c>
      <c r="G420" s="3" t="s">
        <v>1390</v>
      </c>
      <c r="H420" s="3" t="s">
        <v>1275</v>
      </c>
      <c r="I420" s="3" t="s">
        <v>1345</v>
      </c>
      <c r="J420" s="3" t="s">
        <v>10</v>
      </c>
      <c r="K420" s="72">
        <v>2</v>
      </c>
      <c r="L420" s="62"/>
      <c r="M420" s="47">
        <f t="shared" si="9"/>
        <v>0</v>
      </c>
      <c r="N420" s="45"/>
    </row>
    <row r="421" spans="2:14" x14ac:dyDescent="0.3">
      <c r="B421" s="42" t="s">
        <v>2014</v>
      </c>
      <c r="C421" s="5" t="s">
        <v>285</v>
      </c>
      <c r="D421" s="5">
        <v>9</v>
      </c>
      <c r="E421" s="41" t="s">
        <v>1631</v>
      </c>
      <c r="F421" s="3" t="s">
        <v>12</v>
      </c>
      <c r="G421" s="3" t="s">
        <v>1387</v>
      </c>
      <c r="H421" s="3" t="s">
        <v>1275</v>
      </c>
      <c r="I421" s="3" t="s">
        <v>1388</v>
      </c>
      <c r="J421" s="3" t="s">
        <v>10</v>
      </c>
      <c r="K421" s="72">
        <v>2</v>
      </c>
      <c r="L421" s="62"/>
      <c r="M421" s="47">
        <f t="shared" si="9"/>
        <v>0</v>
      </c>
      <c r="N421" s="45"/>
    </row>
    <row r="422" spans="2:14" x14ac:dyDescent="0.3">
      <c r="B422" s="42" t="s">
        <v>2017</v>
      </c>
      <c r="C422" s="5" t="s">
        <v>1108</v>
      </c>
      <c r="D422" s="5">
        <v>9</v>
      </c>
      <c r="E422" s="41" t="s">
        <v>1747</v>
      </c>
      <c r="F422" s="3" t="s">
        <v>12</v>
      </c>
      <c r="G422" s="3">
        <v>1005</v>
      </c>
      <c r="H422" s="9" t="s">
        <v>1275</v>
      </c>
      <c r="I422" s="3"/>
      <c r="J422" s="3" t="s">
        <v>11</v>
      </c>
      <c r="K422" s="72">
        <v>9</v>
      </c>
      <c r="L422" s="62"/>
      <c r="M422" s="47">
        <f t="shared" si="9"/>
        <v>0</v>
      </c>
      <c r="N422" s="45" t="s">
        <v>1425</v>
      </c>
    </row>
    <row r="423" spans="2:14" x14ac:dyDescent="0.3">
      <c r="B423" s="42" t="s">
        <v>2058</v>
      </c>
      <c r="C423" s="5" t="s">
        <v>1241</v>
      </c>
      <c r="D423" s="5">
        <v>9</v>
      </c>
      <c r="E423" s="41" t="s">
        <v>1636</v>
      </c>
      <c r="F423" s="3" t="s">
        <v>12</v>
      </c>
      <c r="G423" s="3" t="s">
        <v>1466</v>
      </c>
      <c r="H423" s="3" t="s">
        <v>1275</v>
      </c>
      <c r="I423" s="36">
        <v>3000</v>
      </c>
      <c r="J423" s="3" t="s">
        <v>10</v>
      </c>
      <c r="K423" s="72">
        <v>5</v>
      </c>
      <c r="L423" s="62"/>
      <c r="M423" s="47">
        <f t="shared" si="9"/>
        <v>0</v>
      </c>
      <c r="N423" s="45"/>
    </row>
    <row r="424" spans="2:14" x14ac:dyDescent="0.3">
      <c r="B424" s="42" t="s">
        <v>2059</v>
      </c>
      <c r="C424" s="5" t="s">
        <v>1241</v>
      </c>
      <c r="D424" s="5">
        <v>9</v>
      </c>
      <c r="E424" s="41" t="s">
        <v>1676</v>
      </c>
      <c r="F424" s="3" t="s">
        <v>12</v>
      </c>
      <c r="G424" s="3" t="s">
        <v>1466</v>
      </c>
      <c r="H424" s="3" t="s">
        <v>1275</v>
      </c>
      <c r="I424" s="36">
        <v>3000</v>
      </c>
      <c r="J424" s="3" t="s">
        <v>10</v>
      </c>
      <c r="K424" s="72">
        <v>3</v>
      </c>
      <c r="L424" s="62"/>
      <c r="M424" s="47">
        <f t="shared" si="9"/>
        <v>0</v>
      </c>
      <c r="N424" s="45"/>
    </row>
    <row r="425" spans="2:14" x14ac:dyDescent="0.3">
      <c r="B425" s="42" t="s">
        <v>2060</v>
      </c>
      <c r="C425" s="5" t="s">
        <v>1241</v>
      </c>
      <c r="D425" s="5">
        <v>9</v>
      </c>
      <c r="E425" s="41" t="s">
        <v>1687</v>
      </c>
      <c r="F425" s="3" t="s">
        <v>12</v>
      </c>
      <c r="G425" s="3" t="s">
        <v>1466</v>
      </c>
      <c r="H425" s="3" t="s">
        <v>1275</v>
      </c>
      <c r="I425" s="36">
        <v>3000</v>
      </c>
      <c r="J425" s="3" t="s">
        <v>10</v>
      </c>
      <c r="K425" s="72">
        <v>3</v>
      </c>
      <c r="L425" s="62"/>
      <c r="M425" s="47">
        <f t="shared" si="9"/>
        <v>0</v>
      </c>
      <c r="N425" s="45"/>
    </row>
    <row r="426" spans="2:14" x14ac:dyDescent="0.3">
      <c r="B426" s="42" t="s">
        <v>2061</v>
      </c>
      <c r="C426" s="5" t="s">
        <v>1241</v>
      </c>
      <c r="D426" s="5">
        <v>9</v>
      </c>
      <c r="E426" s="41" t="s">
        <v>1700</v>
      </c>
      <c r="F426" s="3" t="s">
        <v>12</v>
      </c>
      <c r="G426" s="3" t="s">
        <v>1466</v>
      </c>
      <c r="H426" s="3" t="s">
        <v>1275</v>
      </c>
      <c r="I426" s="36">
        <v>3000</v>
      </c>
      <c r="J426" s="3" t="s">
        <v>10</v>
      </c>
      <c r="K426" s="72">
        <v>3</v>
      </c>
      <c r="L426" s="62"/>
      <c r="M426" s="47">
        <f t="shared" si="9"/>
        <v>0</v>
      </c>
      <c r="N426" s="45"/>
    </row>
    <row r="427" spans="2:14" x14ac:dyDescent="0.3">
      <c r="B427" s="42" t="s">
        <v>2062</v>
      </c>
      <c r="C427" s="5" t="s">
        <v>1241</v>
      </c>
      <c r="D427" s="5">
        <v>9</v>
      </c>
      <c r="E427" s="41" t="s">
        <v>816</v>
      </c>
      <c r="F427" s="3" t="s">
        <v>12</v>
      </c>
      <c r="G427" s="3" t="s">
        <v>1473</v>
      </c>
      <c r="H427" s="3" t="s">
        <v>1275</v>
      </c>
      <c r="I427" s="54" t="s">
        <v>686</v>
      </c>
      <c r="J427" s="3" t="s">
        <v>10</v>
      </c>
      <c r="K427" s="72">
        <v>3</v>
      </c>
      <c r="L427" s="62"/>
      <c r="M427" s="47">
        <f t="shared" si="9"/>
        <v>0</v>
      </c>
      <c r="N427" s="45" t="s">
        <v>1476</v>
      </c>
    </row>
    <row r="428" spans="2:14" x14ac:dyDescent="0.3">
      <c r="B428" s="42" t="s">
        <v>2063</v>
      </c>
      <c r="C428" s="5" t="s">
        <v>1241</v>
      </c>
      <c r="D428" s="5">
        <v>9</v>
      </c>
      <c r="E428" s="41" t="s">
        <v>1632</v>
      </c>
      <c r="F428" s="3" t="s">
        <v>12</v>
      </c>
      <c r="G428" s="3" t="s">
        <v>48</v>
      </c>
      <c r="H428" s="9" t="s">
        <v>1275</v>
      </c>
      <c r="I428" s="9" t="s">
        <v>10</v>
      </c>
      <c r="J428" s="3" t="s">
        <v>11</v>
      </c>
      <c r="K428" s="72">
        <v>4</v>
      </c>
      <c r="L428" s="62"/>
      <c r="M428" s="47">
        <f t="shared" si="9"/>
        <v>0</v>
      </c>
      <c r="N428" s="45"/>
    </row>
    <row r="429" spans="2:14" x14ac:dyDescent="0.3">
      <c r="B429" s="67" t="s">
        <v>2096</v>
      </c>
      <c r="C429" s="5" t="s">
        <v>1478</v>
      </c>
      <c r="D429" s="5">
        <v>9</v>
      </c>
      <c r="E429" s="41" t="s">
        <v>1660</v>
      </c>
      <c r="F429" s="3" t="s">
        <v>12</v>
      </c>
      <c r="G429" s="3" t="s">
        <v>1485</v>
      </c>
      <c r="H429" s="3" t="s">
        <v>1275</v>
      </c>
      <c r="I429" s="36">
        <v>2300</v>
      </c>
      <c r="J429" s="3" t="s">
        <v>11</v>
      </c>
      <c r="K429" s="72">
        <v>200</v>
      </c>
      <c r="L429" s="62"/>
      <c r="M429" s="47">
        <f t="shared" si="9"/>
        <v>0</v>
      </c>
      <c r="N429" s="45"/>
    </row>
    <row r="430" spans="2:14" x14ac:dyDescent="0.3">
      <c r="B430" s="67" t="s">
        <v>2097</v>
      </c>
      <c r="C430" s="5" t="s">
        <v>1478</v>
      </c>
      <c r="D430" s="5">
        <v>9</v>
      </c>
      <c r="E430" s="41" t="s">
        <v>1661</v>
      </c>
      <c r="F430" s="3" t="s">
        <v>12</v>
      </c>
      <c r="G430" s="3" t="s">
        <v>1486</v>
      </c>
      <c r="H430" s="3" t="s">
        <v>1275</v>
      </c>
      <c r="I430" s="36">
        <v>2000</v>
      </c>
      <c r="J430" s="3" t="s">
        <v>11</v>
      </c>
      <c r="K430" s="72">
        <v>100</v>
      </c>
      <c r="L430" s="62"/>
      <c r="M430" s="47">
        <f t="shared" si="9"/>
        <v>0</v>
      </c>
      <c r="N430" s="45"/>
    </row>
    <row r="431" spans="2:14" x14ac:dyDescent="0.3">
      <c r="B431" s="67" t="s">
        <v>2098</v>
      </c>
      <c r="C431" s="5" t="s">
        <v>1478</v>
      </c>
      <c r="D431" s="5">
        <v>9</v>
      </c>
      <c r="E431" s="41" t="s">
        <v>1662</v>
      </c>
      <c r="F431" s="3" t="s">
        <v>12</v>
      </c>
      <c r="G431" s="3" t="s">
        <v>1487</v>
      </c>
      <c r="H431" s="3" t="s">
        <v>1275</v>
      </c>
      <c r="I431" s="36">
        <v>7000</v>
      </c>
      <c r="J431" s="3" t="s">
        <v>11</v>
      </c>
      <c r="K431" s="72">
        <v>175</v>
      </c>
      <c r="L431" s="62"/>
      <c r="M431" s="47">
        <f t="shared" si="9"/>
        <v>0</v>
      </c>
      <c r="N431" s="45"/>
    </row>
    <row r="432" spans="2:14" x14ac:dyDescent="0.3">
      <c r="B432" s="42" t="s">
        <v>700</v>
      </c>
      <c r="C432" s="5" t="s">
        <v>1280</v>
      </c>
      <c r="D432" s="5">
        <v>9</v>
      </c>
      <c r="E432" s="41" t="s">
        <v>1018</v>
      </c>
      <c r="F432" s="3" t="s">
        <v>12</v>
      </c>
      <c r="G432" s="3" t="s">
        <v>1321</v>
      </c>
      <c r="H432" s="9" t="s">
        <v>1275</v>
      </c>
      <c r="I432" s="9" t="s">
        <v>314</v>
      </c>
      <c r="J432" s="3" t="s">
        <v>11</v>
      </c>
      <c r="K432" s="72">
        <v>6</v>
      </c>
      <c r="L432" s="62"/>
      <c r="M432" s="47">
        <f t="shared" si="9"/>
        <v>0</v>
      </c>
      <c r="N432" s="45"/>
    </row>
    <row r="433" spans="2:14" x14ac:dyDescent="0.3">
      <c r="B433" s="42" t="s">
        <v>698</v>
      </c>
      <c r="C433" s="5" t="s">
        <v>1280</v>
      </c>
      <c r="D433" s="5">
        <v>9</v>
      </c>
      <c r="E433" s="41" t="s">
        <v>1016</v>
      </c>
      <c r="F433" s="3" t="s">
        <v>12</v>
      </c>
      <c r="G433" s="3" t="s">
        <v>1321</v>
      </c>
      <c r="H433" s="9" t="s">
        <v>1275</v>
      </c>
      <c r="I433" s="9" t="s">
        <v>313</v>
      </c>
      <c r="J433" s="3" t="s">
        <v>11</v>
      </c>
      <c r="K433" s="72">
        <v>6</v>
      </c>
      <c r="L433" s="62"/>
      <c r="M433" s="47">
        <f t="shared" si="9"/>
        <v>0</v>
      </c>
      <c r="N433" s="45"/>
    </row>
    <row r="434" spans="2:14" x14ac:dyDescent="0.3">
      <c r="B434" s="42" t="s">
        <v>678</v>
      </c>
      <c r="C434" s="5" t="s">
        <v>1280</v>
      </c>
      <c r="D434" s="5">
        <v>9</v>
      </c>
      <c r="E434" s="41" t="s">
        <v>1007</v>
      </c>
      <c r="F434" s="3" t="s">
        <v>12</v>
      </c>
      <c r="G434" s="3" t="s">
        <v>315</v>
      </c>
      <c r="H434" s="9" t="s">
        <v>1275</v>
      </c>
      <c r="I434" s="9" t="s">
        <v>1335</v>
      </c>
      <c r="J434" s="3" t="s">
        <v>11</v>
      </c>
      <c r="K434" s="72">
        <v>25</v>
      </c>
      <c r="L434" s="62"/>
      <c r="M434" s="47">
        <f t="shared" si="9"/>
        <v>0</v>
      </c>
      <c r="N434" s="45"/>
    </row>
    <row r="435" spans="2:14" x14ac:dyDescent="0.3">
      <c r="B435" s="42" t="s">
        <v>1139</v>
      </c>
      <c r="C435" s="5" t="s">
        <v>1146</v>
      </c>
      <c r="D435" s="5">
        <v>9</v>
      </c>
      <c r="E435" s="41" t="s">
        <v>1184</v>
      </c>
      <c r="F435" s="3" t="s">
        <v>12</v>
      </c>
      <c r="G435" s="3"/>
      <c r="H435" s="9" t="s">
        <v>1275</v>
      </c>
      <c r="I435" s="9"/>
      <c r="J435" s="3"/>
      <c r="K435" s="72">
        <v>30</v>
      </c>
      <c r="L435" s="62"/>
      <c r="M435" s="47">
        <f t="shared" si="9"/>
        <v>0</v>
      </c>
      <c r="N435" s="45"/>
    </row>
    <row r="436" spans="2:14" x14ac:dyDescent="0.3">
      <c r="B436" s="42" t="s">
        <v>1140</v>
      </c>
      <c r="C436" s="5" t="s">
        <v>1146</v>
      </c>
      <c r="D436" s="5">
        <v>9</v>
      </c>
      <c r="E436" s="41" t="s">
        <v>1185</v>
      </c>
      <c r="F436" s="3" t="s">
        <v>12</v>
      </c>
      <c r="G436" s="3" t="s">
        <v>1186</v>
      </c>
      <c r="H436" s="9" t="s">
        <v>1275</v>
      </c>
      <c r="I436" s="9"/>
      <c r="J436" s="3"/>
      <c r="K436" s="72">
        <v>1200</v>
      </c>
      <c r="L436" s="62"/>
      <c r="M436" s="47">
        <f t="shared" si="9"/>
        <v>0</v>
      </c>
      <c r="N436" s="45"/>
    </row>
    <row r="437" spans="2:14" x14ac:dyDescent="0.3">
      <c r="B437" s="42" t="s">
        <v>1142</v>
      </c>
      <c r="C437" s="5" t="s">
        <v>1146</v>
      </c>
      <c r="D437" s="5">
        <v>9</v>
      </c>
      <c r="E437" s="41" t="s">
        <v>1189</v>
      </c>
      <c r="F437" s="3" t="s">
        <v>12</v>
      </c>
      <c r="G437" s="3" t="s">
        <v>1190</v>
      </c>
      <c r="H437" s="9" t="s">
        <v>1275</v>
      </c>
      <c r="I437" s="9"/>
      <c r="J437" s="3"/>
      <c r="K437" s="72">
        <v>400</v>
      </c>
      <c r="L437" s="62"/>
      <c r="M437" s="47">
        <f t="shared" si="9"/>
        <v>0</v>
      </c>
      <c r="N437" s="45"/>
    </row>
    <row r="438" spans="2:14" x14ac:dyDescent="0.3">
      <c r="B438" s="42" t="s">
        <v>1137</v>
      </c>
      <c r="C438" s="5" t="s">
        <v>1146</v>
      </c>
      <c r="D438" s="5">
        <v>9</v>
      </c>
      <c r="E438" s="41" t="s">
        <v>1182</v>
      </c>
      <c r="F438" s="3" t="s">
        <v>12</v>
      </c>
      <c r="G438" s="3"/>
      <c r="H438" s="9" t="s">
        <v>1275</v>
      </c>
      <c r="I438" s="9"/>
      <c r="J438" s="3"/>
      <c r="K438" s="72">
        <v>700</v>
      </c>
      <c r="L438" s="62"/>
      <c r="M438" s="47">
        <f t="shared" si="9"/>
        <v>0</v>
      </c>
      <c r="N438" s="45"/>
    </row>
    <row r="439" spans="2:14" x14ac:dyDescent="0.3">
      <c r="B439" s="42" t="s">
        <v>1136</v>
      </c>
      <c r="C439" s="5" t="s">
        <v>1146</v>
      </c>
      <c r="D439" s="5">
        <v>9</v>
      </c>
      <c r="E439" s="41" t="s">
        <v>1181</v>
      </c>
      <c r="F439" s="3" t="s">
        <v>12</v>
      </c>
      <c r="G439" s="3"/>
      <c r="H439" s="9" t="s">
        <v>1275</v>
      </c>
      <c r="I439" s="9"/>
      <c r="J439" s="3"/>
      <c r="K439" s="72">
        <v>7</v>
      </c>
      <c r="L439" s="62"/>
      <c r="M439" s="47">
        <f t="shared" si="9"/>
        <v>0</v>
      </c>
      <c r="N439" s="45"/>
    </row>
    <row r="440" spans="2:14" x14ac:dyDescent="0.3">
      <c r="B440" s="42" t="s">
        <v>1138</v>
      </c>
      <c r="C440" s="5" t="s">
        <v>1146</v>
      </c>
      <c r="D440" s="5">
        <v>9</v>
      </c>
      <c r="E440" s="41" t="s">
        <v>1183</v>
      </c>
      <c r="F440" s="3" t="s">
        <v>12</v>
      </c>
      <c r="G440" s="3"/>
      <c r="H440" s="9" t="s">
        <v>1275</v>
      </c>
      <c r="I440" s="9"/>
      <c r="J440" s="3"/>
      <c r="K440" s="72">
        <v>200</v>
      </c>
      <c r="L440" s="62"/>
      <c r="M440" s="47">
        <f t="shared" si="9"/>
        <v>0</v>
      </c>
      <c r="N440" s="45"/>
    </row>
    <row r="441" spans="2:14" x14ac:dyDescent="0.3">
      <c r="B441" s="42" t="s">
        <v>1141</v>
      </c>
      <c r="C441" s="5" t="s">
        <v>1146</v>
      </c>
      <c r="D441" s="5">
        <v>9</v>
      </c>
      <c r="E441" s="41" t="s">
        <v>1187</v>
      </c>
      <c r="F441" s="3" t="s">
        <v>12</v>
      </c>
      <c r="G441" s="3" t="s">
        <v>1188</v>
      </c>
      <c r="H441" s="9" t="s">
        <v>1275</v>
      </c>
      <c r="I441" s="9"/>
      <c r="J441" s="3"/>
      <c r="K441" s="72">
        <v>400</v>
      </c>
      <c r="L441" s="62"/>
      <c r="M441" s="47">
        <f t="shared" si="9"/>
        <v>0</v>
      </c>
      <c r="N441" s="45"/>
    </row>
    <row r="442" spans="2:14" x14ac:dyDescent="0.3">
      <c r="B442" s="42" t="s">
        <v>1144</v>
      </c>
      <c r="C442" s="5" t="s">
        <v>1146</v>
      </c>
      <c r="D442" s="5">
        <v>9</v>
      </c>
      <c r="E442" s="41" t="s">
        <v>1193</v>
      </c>
      <c r="F442" s="3" t="s">
        <v>12</v>
      </c>
      <c r="G442" s="3" t="s">
        <v>1194</v>
      </c>
      <c r="H442" s="9" t="s">
        <v>1275</v>
      </c>
      <c r="I442" s="9"/>
      <c r="J442" s="3"/>
      <c r="K442" s="72">
        <v>170</v>
      </c>
      <c r="L442" s="62"/>
      <c r="M442" s="47">
        <f t="shared" si="9"/>
        <v>0</v>
      </c>
      <c r="N442" s="45"/>
    </row>
    <row r="443" spans="2:14" x14ac:dyDescent="0.3">
      <c r="B443" s="42" t="s">
        <v>1143</v>
      </c>
      <c r="C443" s="5" t="s">
        <v>1146</v>
      </c>
      <c r="D443" s="5">
        <v>9</v>
      </c>
      <c r="E443" s="41" t="s">
        <v>1191</v>
      </c>
      <c r="F443" s="3" t="s">
        <v>12</v>
      </c>
      <c r="G443" s="3" t="s">
        <v>1192</v>
      </c>
      <c r="H443" s="9" t="s">
        <v>1275</v>
      </c>
      <c r="I443" s="9"/>
      <c r="J443" s="3"/>
      <c r="K443" s="72">
        <v>70</v>
      </c>
      <c r="L443" s="62"/>
      <c r="M443" s="47">
        <f t="shared" si="9"/>
        <v>0</v>
      </c>
      <c r="N443" s="45"/>
    </row>
    <row r="444" spans="2:14" x14ac:dyDescent="0.3">
      <c r="B444" s="42" t="s">
        <v>336</v>
      </c>
      <c r="C444" s="6" t="s">
        <v>1033</v>
      </c>
      <c r="D444" s="6">
        <v>9</v>
      </c>
      <c r="E444" s="48" t="s">
        <v>734</v>
      </c>
      <c r="F444" s="9" t="s">
        <v>12</v>
      </c>
      <c r="G444" s="9" t="s">
        <v>32</v>
      </c>
      <c r="H444" s="9" t="s">
        <v>1275</v>
      </c>
      <c r="I444" s="9"/>
      <c r="J444" s="9" t="s">
        <v>10</v>
      </c>
      <c r="K444" s="72">
        <v>130</v>
      </c>
      <c r="L444" s="62"/>
      <c r="M444" s="47">
        <f t="shared" si="9"/>
        <v>0</v>
      </c>
      <c r="N444" s="45"/>
    </row>
    <row r="445" spans="2:14" x14ac:dyDescent="0.3">
      <c r="B445" s="42" t="s">
        <v>335</v>
      </c>
      <c r="C445" s="6" t="s">
        <v>1033</v>
      </c>
      <c r="D445" s="6">
        <v>9</v>
      </c>
      <c r="E445" s="48" t="s">
        <v>975</v>
      </c>
      <c r="F445" s="9" t="s">
        <v>12</v>
      </c>
      <c r="G445" s="9" t="s">
        <v>33</v>
      </c>
      <c r="H445" s="9" t="s">
        <v>1275</v>
      </c>
      <c r="I445" s="9"/>
      <c r="J445" s="9" t="s">
        <v>10</v>
      </c>
      <c r="K445" s="72">
        <v>4</v>
      </c>
      <c r="L445" s="62"/>
      <c r="M445" s="47">
        <f t="shared" si="9"/>
        <v>0</v>
      </c>
      <c r="N445" s="45"/>
    </row>
    <row r="446" spans="2:14" x14ac:dyDescent="0.3">
      <c r="B446" s="42" t="s">
        <v>656</v>
      </c>
      <c r="C446" s="5" t="s">
        <v>285</v>
      </c>
      <c r="D446" s="5">
        <v>9</v>
      </c>
      <c r="E446" s="41" t="s">
        <v>985</v>
      </c>
      <c r="F446" s="3" t="s">
        <v>12</v>
      </c>
      <c r="G446" s="3" t="s">
        <v>298</v>
      </c>
      <c r="H446" s="9" t="s">
        <v>1275</v>
      </c>
      <c r="I446" s="9" t="s">
        <v>1345</v>
      </c>
      <c r="J446" s="3" t="s">
        <v>10</v>
      </c>
      <c r="K446" s="72">
        <v>2</v>
      </c>
      <c r="L446" s="62"/>
      <c r="M446" s="47">
        <f t="shared" si="9"/>
        <v>0</v>
      </c>
      <c r="N446" s="45"/>
    </row>
    <row r="447" spans="2:14" x14ac:dyDescent="0.3">
      <c r="B447" s="42" t="s">
        <v>660</v>
      </c>
      <c r="C447" s="5" t="s">
        <v>285</v>
      </c>
      <c r="D447" s="5">
        <v>9</v>
      </c>
      <c r="E447" s="41" t="s">
        <v>989</v>
      </c>
      <c r="F447" s="3" t="s">
        <v>12</v>
      </c>
      <c r="G447" s="3" t="s">
        <v>684</v>
      </c>
      <c r="H447" s="9" t="s">
        <v>1275</v>
      </c>
      <c r="I447" s="9" t="s">
        <v>1341</v>
      </c>
      <c r="J447" s="3" t="s">
        <v>10</v>
      </c>
      <c r="K447" s="72">
        <v>4</v>
      </c>
      <c r="L447" s="62"/>
      <c r="M447" s="47">
        <f t="shared" si="9"/>
        <v>0</v>
      </c>
      <c r="N447" s="45"/>
    </row>
    <row r="448" spans="2:14" x14ac:dyDescent="0.3">
      <c r="B448" s="42" t="s">
        <v>661</v>
      </c>
      <c r="C448" s="5" t="s">
        <v>285</v>
      </c>
      <c r="D448" s="5">
        <v>9</v>
      </c>
      <c r="E448" s="41" t="s">
        <v>990</v>
      </c>
      <c r="F448" s="3" t="s">
        <v>12</v>
      </c>
      <c r="G448" s="3" t="s">
        <v>299</v>
      </c>
      <c r="H448" s="9" t="s">
        <v>1275</v>
      </c>
      <c r="I448" s="9" t="s">
        <v>1325</v>
      </c>
      <c r="J448" s="3" t="s">
        <v>10</v>
      </c>
      <c r="K448" s="72">
        <v>25</v>
      </c>
      <c r="L448" s="62"/>
      <c r="M448" s="47">
        <f t="shared" si="9"/>
        <v>0</v>
      </c>
      <c r="N448" s="45"/>
    </row>
    <row r="449" spans="2:14" x14ac:dyDescent="0.3">
      <c r="B449" s="42" t="s">
        <v>478</v>
      </c>
      <c r="C449" s="5" t="s">
        <v>1108</v>
      </c>
      <c r="D449" s="5">
        <v>9</v>
      </c>
      <c r="E449" s="41" t="s">
        <v>818</v>
      </c>
      <c r="F449" s="3" t="s">
        <v>12</v>
      </c>
      <c r="G449" s="3" t="s">
        <v>200</v>
      </c>
      <c r="H449" s="9" t="s">
        <v>1275</v>
      </c>
      <c r="I449" s="3"/>
      <c r="J449" s="3" t="s">
        <v>11</v>
      </c>
      <c r="K449" s="72">
        <v>17</v>
      </c>
      <c r="L449" s="62"/>
      <c r="M449" s="47">
        <f t="shared" si="9"/>
        <v>0</v>
      </c>
      <c r="N449" s="45" t="s">
        <v>201</v>
      </c>
    </row>
    <row r="450" spans="2:14" x14ac:dyDescent="0.3">
      <c r="B450" s="42" t="s">
        <v>490</v>
      </c>
      <c r="C450" s="5" t="s">
        <v>1108</v>
      </c>
      <c r="D450" s="5">
        <v>9</v>
      </c>
      <c r="E450" s="41" t="s">
        <v>821</v>
      </c>
      <c r="F450" s="3" t="s">
        <v>12</v>
      </c>
      <c r="G450" s="3">
        <v>2015</v>
      </c>
      <c r="H450" s="9" t="s">
        <v>1275</v>
      </c>
      <c r="I450" s="3"/>
      <c r="J450" s="3" t="s">
        <v>11</v>
      </c>
      <c r="K450" s="72">
        <v>23</v>
      </c>
      <c r="L450" s="62"/>
      <c r="M450" s="47">
        <f t="shared" si="9"/>
        <v>0</v>
      </c>
      <c r="N450" s="45" t="s">
        <v>202</v>
      </c>
    </row>
    <row r="451" spans="2:14" x14ac:dyDescent="0.3">
      <c r="B451" s="42" t="s">
        <v>505</v>
      </c>
      <c r="C451" s="5" t="s">
        <v>1108</v>
      </c>
      <c r="D451" s="5">
        <v>9</v>
      </c>
      <c r="E451" s="41" t="s">
        <v>1408</v>
      </c>
      <c r="F451" s="3" t="s">
        <v>12</v>
      </c>
      <c r="G451" s="3" t="s">
        <v>197</v>
      </c>
      <c r="H451" s="9" t="s">
        <v>1275</v>
      </c>
      <c r="I451" s="3"/>
      <c r="J451" s="3" t="s">
        <v>11</v>
      </c>
      <c r="K451" s="72">
        <v>17</v>
      </c>
      <c r="L451" s="62"/>
      <c r="M451" s="47">
        <f t="shared" si="9"/>
        <v>0</v>
      </c>
      <c r="N451" s="45" t="s">
        <v>1428</v>
      </c>
    </row>
    <row r="452" spans="2:14" x14ac:dyDescent="0.3">
      <c r="B452" s="42" t="s">
        <v>503</v>
      </c>
      <c r="C452" s="5" t="s">
        <v>1108</v>
      </c>
      <c r="D452" s="5">
        <v>9</v>
      </c>
      <c r="E452" s="41" t="s">
        <v>820</v>
      </c>
      <c r="F452" s="3" t="s">
        <v>12</v>
      </c>
      <c r="G452" s="3" t="s">
        <v>205</v>
      </c>
      <c r="H452" s="9" t="s">
        <v>1275</v>
      </c>
      <c r="I452" s="3"/>
      <c r="J452" s="3" t="s">
        <v>11</v>
      </c>
      <c r="K452" s="72">
        <v>17</v>
      </c>
      <c r="L452" s="62"/>
      <c r="M452" s="47">
        <f t="shared" si="9"/>
        <v>0</v>
      </c>
      <c r="N452" s="45" t="s">
        <v>206</v>
      </c>
    </row>
    <row r="453" spans="2:14" x14ac:dyDescent="0.3">
      <c r="B453" s="42" t="s">
        <v>479</v>
      </c>
      <c r="C453" s="5" t="s">
        <v>1108</v>
      </c>
      <c r="D453" s="5">
        <v>9</v>
      </c>
      <c r="E453" s="41" t="s">
        <v>819</v>
      </c>
      <c r="F453" s="3" t="s">
        <v>12</v>
      </c>
      <c r="G453" s="3" t="s">
        <v>203</v>
      </c>
      <c r="H453" s="9" t="s">
        <v>1275</v>
      </c>
      <c r="I453" s="3"/>
      <c r="J453" s="3" t="s">
        <v>11</v>
      </c>
      <c r="K453" s="72">
        <v>17</v>
      </c>
      <c r="L453" s="62"/>
      <c r="M453" s="47">
        <f t="shared" si="9"/>
        <v>0</v>
      </c>
      <c r="N453" s="45" t="s">
        <v>204</v>
      </c>
    </row>
    <row r="454" spans="2:14" x14ac:dyDescent="0.3">
      <c r="B454" s="42" t="s">
        <v>497</v>
      </c>
      <c r="C454" s="5" t="s">
        <v>1108</v>
      </c>
      <c r="D454" s="5">
        <v>9</v>
      </c>
      <c r="E454" s="41" t="s">
        <v>826</v>
      </c>
      <c r="F454" s="3" t="s">
        <v>12</v>
      </c>
      <c r="G454" s="3" t="s">
        <v>210</v>
      </c>
      <c r="H454" s="9" t="s">
        <v>1275</v>
      </c>
      <c r="I454" s="3"/>
      <c r="J454" s="3" t="s">
        <v>11</v>
      </c>
      <c r="K454" s="72">
        <v>30</v>
      </c>
      <c r="L454" s="62"/>
      <c r="M454" s="47">
        <f t="shared" si="9"/>
        <v>0</v>
      </c>
      <c r="N454" s="45" t="s">
        <v>199</v>
      </c>
    </row>
    <row r="455" spans="2:14" x14ac:dyDescent="0.3">
      <c r="B455" s="42" t="s">
        <v>496</v>
      </c>
      <c r="C455" s="5" t="s">
        <v>1108</v>
      </c>
      <c r="D455" s="5">
        <v>9</v>
      </c>
      <c r="E455" s="41" t="s">
        <v>825</v>
      </c>
      <c r="F455" s="3" t="s">
        <v>12</v>
      </c>
      <c r="G455" s="3" t="s">
        <v>208</v>
      </c>
      <c r="H455" s="9" t="s">
        <v>1275</v>
      </c>
      <c r="I455" s="3"/>
      <c r="J455" s="3" t="s">
        <v>11</v>
      </c>
      <c r="K455" s="72">
        <v>17</v>
      </c>
      <c r="L455" s="62"/>
      <c r="M455" s="47">
        <f t="shared" si="9"/>
        <v>0</v>
      </c>
      <c r="N455" s="45" t="s">
        <v>1426</v>
      </c>
    </row>
    <row r="456" spans="2:14" x14ac:dyDescent="0.3">
      <c r="B456" s="42" t="s">
        <v>502</v>
      </c>
      <c r="C456" s="5" t="s">
        <v>1108</v>
      </c>
      <c r="D456" s="5">
        <v>9</v>
      </c>
      <c r="E456" s="41" t="s">
        <v>831</v>
      </c>
      <c r="F456" s="3" t="s">
        <v>12</v>
      </c>
      <c r="G456" s="3" t="s">
        <v>209</v>
      </c>
      <c r="H456" s="9" t="s">
        <v>1275</v>
      </c>
      <c r="I456" s="3"/>
      <c r="J456" s="3" t="s">
        <v>11</v>
      </c>
      <c r="K456" s="72">
        <v>25</v>
      </c>
      <c r="L456" s="62"/>
      <c r="M456" s="47">
        <f t="shared" si="9"/>
        <v>0</v>
      </c>
      <c r="N456" s="45" t="s">
        <v>1427</v>
      </c>
    </row>
    <row r="457" spans="2:14" x14ac:dyDescent="0.3">
      <c r="B457" s="42" t="s">
        <v>1242</v>
      </c>
      <c r="C457" s="5" t="s">
        <v>1241</v>
      </c>
      <c r="D457" s="5">
        <v>9</v>
      </c>
      <c r="E457" s="41" t="s">
        <v>1243</v>
      </c>
      <c r="F457" s="3" t="s">
        <v>12</v>
      </c>
      <c r="G457" s="3" t="s">
        <v>1244</v>
      </c>
      <c r="H457" s="9" t="s">
        <v>1275</v>
      </c>
      <c r="I457" s="9" t="s">
        <v>10</v>
      </c>
      <c r="J457" s="3" t="s">
        <v>11</v>
      </c>
      <c r="K457" s="72">
        <v>600</v>
      </c>
      <c r="L457" s="62"/>
      <c r="M457" s="47">
        <f t="shared" si="9"/>
        <v>0</v>
      </c>
      <c r="N457" s="45"/>
    </row>
    <row r="458" spans="2:14" x14ac:dyDescent="0.3">
      <c r="B458" s="42" t="s">
        <v>1262</v>
      </c>
      <c r="C458" s="5" t="s">
        <v>1245</v>
      </c>
      <c r="D458" s="5">
        <v>9</v>
      </c>
      <c r="E458" s="41" t="s">
        <v>766</v>
      </c>
      <c r="F458" s="3" t="s">
        <v>12</v>
      </c>
      <c r="G458" s="3" t="s">
        <v>44</v>
      </c>
      <c r="H458" s="9" t="s">
        <v>1275</v>
      </c>
      <c r="I458" s="9" t="s">
        <v>10</v>
      </c>
      <c r="J458" s="3" t="s">
        <v>10</v>
      </c>
      <c r="K458" s="72">
        <v>20</v>
      </c>
      <c r="L458" s="62"/>
      <c r="M458" s="47">
        <f t="shared" si="9"/>
        <v>0</v>
      </c>
      <c r="N458" s="45">
        <v>522204625</v>
      </c>
    </row>
    <row r="459" spans="2:14" x14ac:dyDescent="0.3">
      <c r="B459" s="42" t="s">
        <v>1261</v>
      </c>
      <c r="C459" s="5" t="s">
        <v>1245</v>
      </c>
      <c r="D459" s="5">
        <v>9</v>
      </c>
      <c r="E459" s="41" t="s">
        <v>764</v>
      </c>
      <c r="F459" s="3" t="s">
        <v>12</v>
      </c>
      <c r="G459" s="3" t="s">
        <v>44</v>
      </c>
      <c r="H459" s="9" t="s">
        <v>1275</v>
      </c>
      <c r="I459" s="9" t="s">
        <v>10</v>
      </c>
      <c r="J459" s="3" t="s">
        <v>10</v>
      </c>
      <c r="K459" s="72">
        <v>75</v>
      </c>
      <c r="L459" s="62"/>
      <c r="M459" s="47">
        <f t="shared" si="9"/>
        <v>0</v>
      </c>
      <c r="N459" s="45">
        <v>522204636</v>
      </c>
    </row>
    <row r="460" spans="2:14" x14ac:dyDescent="0.3">
      <c r="B460" s="42" t="s">
        <v>1263</v>
      </c>
      <c r="C460" s="5" t="s">
        <v>1245</v>
      </c>
      <c r="D460" s="5">
        <v>9</v>
      </c>
      <c r="E460" s="41" t="s">
        <v>798</v>
      </c>
      <c r="F460" s="3" t="s">
        <v>12</v>
      </c>
      <c r="G460" s="3"/>
      <c r="H460" s="9" t="s">
        <v>1275</v>
      </c>
      <c r="I460" s="9" t="s">
        <v>10</v>
      </c>
      <c r="J460" s="3" t="s">
        <v>10</v>
      </c>
      <c r="K460" s="72">
        <v>75</v>
      </c>
      <c r="L460" s="62"/>
      <c r="M460" s="47">
        <f t="shared" si="9"/>
        <v>0</v>
      </c>
      <c r="N460" s="45">
        <v>522204631</v>
      </c>
    </row>
    <row r="461" spans="2:14" x14ac:dyDescent="0.3">
      <c r="B461" s="42" t="s">
        <v>1264</v>
      </c>
      <c r="C461" s="5" t="s">
        <v>1245</v>
      </c>
      <c r="D461" s="5">
        <v>9</v>
      </c>
      <c r="E461" s="41" t="s">
        <v>799</v>
      </c>
      <c r="F461" s="3" t="s">
        <v>12</v>
      </c>
      <c r="G461" s="3" t="s">
        <v>48</v>
      </c>
      <c r="H461" s="9" t="s">
        <v>1275</v>
      </c>
      <c r="I461" s="9" t="s">
        <v>10</v>
      </c>
      <c r="J461" s="3" t="s">
        <v>10</v>
      </c>
      <c r="K461" s="72">
        <v>20</v>
      </c>
      <c r="L461" s="62"/>
      <c r="M461" s="47">
        <f t="shared" si="9"/>
        <v>0</v>
      </c>
      <c r="N461" s="45">
        <v>522204635</v>
      </c>
    </row>
    <row r="462" spans="2:14" x14ac:dyDescent="0.3">
      <c r="B462" s="42" t="s">
        <v>1266</v>
      </c>
      <c r="C462" s="5" t="s">
        <v>1245</v>
      </c>
      <c r="D462" s="5">
        <v>9</v>
      </c>
      <c r="E462" s="41" t="s">
        <v>1277</v>
      </c>
      <c r="F462" s="3" t="s">
        <v>12</v>
      </c>
      <c r="G462" s="3"/>
      <c r="H462" s="9" t="s">
        <v>1275</v>
      </c>
      <c r="I462" s="9"/>
      <c r="J462" s="3" t="s">
        <v>11</v>
      </c>
      <c r="K462" s="72">
        <v>750</v>
      </c>
      <c r="L462" s="62"/>
      <c r="M462" s="47">
        <f t="shared" si="9"/>
        <v>0</v>
      </c>
      <c r="N462" s="45">
        <v>522204632</v>
      </c>
    </row>
    <row r="463" spans="2:14" x14ac:dyDescent="0.3">
      <c r="B463" s="42" t="s">
        <v>1265</v>
      </c>
      <c r="C463" s="5" t="s">
        <v>1245</v>
      </c>
      <c r="D463" s="5">
        <v>9</v>
      </c>
      <c r="E463" s="41" t="s">
        <v>1318</v>
      </c>
      <c r="F463" s="3" t="s">
        <v>12</v>
      </c>
      <c r="G463" s="3" t="s">
        <v>44</v>
      </c>
      <c r="H463" s="9" t="s">
        <v>1275</v>
      </c>
      <c r="I463" s="9"/>
      <c r="J463" s="3" t="s">
        <v>11</v>
      </c>
      <c r="K463" s="72">
        <v>5</v>
      </c>
      <c r="L463" s="62"/>
      <c r="M463" s="47">
        <f t="shared" si="9"/>
        <v>0</v>
      </c>
      <c r="N463" s="45">
        <v>522204516</v>
      </c>
    </row>
    <row r="464" spans="2:14" x14ac:dyDescent="0.3">
      <c r="B464" s="42" t="s">
        <v>1267</v>
      </c>
      <c r="C464" s="5" t="s">
        <v>1245</v>
      </c>
      <c r="D464" s="5">
        <v>9</v>
      </c>
      <c r="E464" s="41" t="s">
        <v>1278</v>
      </c>
      <c r="F464" s="3" t="s">
        <v>12</v>
      </c>
      <c r="G464" s="3"/>
      <c r="H464" s="9" t="s">
        <v>1275</v>
      </c>
      <c r="I464" s="9"/>
      <c r="J464" s="3" t="s">
        <v>11</v>
      </c>
      <c r="K464" s="72">
        <v>25</v>
      </c>
      <c r="L464" s="62"/>
      <c r="M464" s="47">
        <f t="shared" si="9"/>
        <v>0</v>
      </c>
      <c r="N464" s="45">
        <v>522204667</v>
      </c>
    </row>
    <row r="465" spans="2:14" x14ac:dyDescent="0.3">
      <c r="B465" s="42" t="s">
        <v>1260</v>
      </c>
      <c r="C465" s="5" t="s">
        <v>1245</v>
      </c>
      <c r="D465" s="5">
        <v>9</v>
      </c>
      <c r="E465" s="41" t="s">
        <v>763</v>
      </c>
      <c r="F465" s="3" t="s">
        <v>12</v>
      </c>
      <c r="G465" s="3" t="s">
        <v>44</v>
      </c>
      <c r="H465" s="9" t="s">
        <v>1275</v>
      </c>
      <c r="I465" s="9" t="s">
        <v>10</v>
      </c>
      <c r="J465" s="3" t="s">
        <v>10</v>
      </c>
      <c r="K465" s="72">
        <v>25</v>
      </c>
      <c r="L465" s="62"/>
      <c r="M465" s="47">
        <f t="shared" si="9"/>
        <v>0</v>
      </c>
      <c r="N465" s="45">
        <v>522204624</v>
      </c>
    </row>
    <row r="466" spans="2:14" x14ac:dyDescent="0.3">
      <c r="B466" s="42" t="s">
        <v>1874</v>
      </c>
      <c r="C466" s="5" t="s">
        <v>1223</v>
      </c>
      <c r="D466" s="5">
        <v>10</v>
      </c>
      <c r="E466" s="41" t="s">
        <v>1620</v>
      </c>
      <c r="F466" s="3" t="s">
        <v>22</v>
      </c>
      <c r="G466" s="3" t="s">
        <v>1227</v>
      </c>
      <c r="H466" s="9" t="s">
        <v>13</v>
      </c>
      <c r="I466" s="3"/>
      <c r="J466" s="3" t="s">
        <v>11</v>
      </c>
      <c r="K466" s="72">
        <v>23</v>
      </c>
      <c r="L466" s="62"/>
      <c r="M466" s="47">
        <f t="shared" si="9"/>
        <v>0</v>
      </c>
      <c r="N466" s="45"/>
    </row>
    <row r="467" spans="2:14" x14ac:dyDescent="0.3">
      <c r="B467" s="42" t="s">
        <v>1875</v>
      </c>
      <c r="C467" s="5" t="s">
        <v>1223</v>
      </c>
      <c r="D467" s="5">
        <v>10</v>
      </c>
      <c r="E467" s="41" t="s">
        <v>1629</v>
      </c>
      <c r="F467" s="3" t="s">
        <v>22</v>
      </c>
      <c r="G467" s="3" t="s">
        <v>1227</v>
      </c>
      <c r="H467" s="9" t="s">
        <v>13</v>
      </c>
      <c r="I467" s="3"/>
      <c r="J467" s="3" t="s">
        <v>11</v>
      </c>
      <c r="K467" s="72">
        <v>47</v>
      </c>
      <c r="L467" s="62"/>
      <c r="M467" s="47">
        <f t="shared" si="9"/>
        <v>0</v>
      </c>
      <c r="N467" s="45"/>
    </row>
    <row r="468" spans="2:14" x14ac:dyDescent="0.3">
      <c r="B468" s="42" t="s">
        <v>1876</v>
      </c>
      <c r="C468" s="5" t="s">
        <v>1223</v>
      </c>
      <c r="D468" s="5">
        <v>10</v>
      </c>
      <c r="E468" s="41" t="s">
        <v>1683</v>
      </c>
      <c r="F468" s="3" t="s">
        <v>22</v>
      </c>
      <c r="G468" s="3" t="s">
        <v>1227</v>
      </c>
      <c r="H468" s="9" t="s">
        <v>13</v>
      </c>
      <c r="I468" s="3"/>
      <c r="J468" s="3" t="s">
        <v>11</v>
      </c>
      <c r="K468" s="72">
        <v>47</v>
      </c>
      <c r="L468" s="62"/>
      <c r="M468" s="47">
        <f t="shared" si="9"/>
        <v>0</v>
      </c>
      <c r="N468" s="45"/>
    </row>
    <row r="469" spans="2:14" x14ac:dyDescent="0.3">
      <c r="B469" s="42" t="s">
        <v>2029</v>
      </c>
      <c r="C469" s="5" t="s">
        <v>1108</v>
      </c>
      <c r="D469" s="5">
        <v>10</v>
      </c>
      <c r="E469" s="41" t="s">
        <v>1672</v>
      </c>
      <c r="F469" s="3" t="s">
        <v>22</v>
      </c>
      <c r="G469" s="3" t="s">
        <v>211</v>
      </c>
      <c r="H469" s="9" t="s">
        <v>13</v>
      </c>
      <c r="I469" s="3"/>
      <c r="J469" s="3" t="s">
        <v>11</v>
      </c>
      <c r="K469" s="72">
        <v>14</v>
      </c>
      <c r="L469" s="62"/>
      <c r="M469" s="47">
        <f t="shared" si="9"/>
        <v>0</v>
      </c>
      <c r="N469" s="45"/>
    </row>
    <row r="470" spans="2:14" x14ac:dyDescent="0.3">
      <c r="B470" s="42" t="s">
        <v>2030</v>
      </c>
      <c r="C470" s="5" t="s">
        <v>1108</v>
      </c>
      <c r="D470" s="5">
        <v>10</v>
      </c>
      <c r="E470" s="41" t="s">
        <v>1627</v>
      </c>
      <c r="F470" s="3" t="s">
        <v>22</v>
      </c>
      <c r="G470" s="3" t="s">
        <v>211</v>
      </c>
      <c r="H470" s="9" t="s">
        <v>13</v>
      </c>
      <c r="I470" s="3"/>
      <c r="J470" s="3" t="s">
        <v>11</v>
      </c>
      <c r="K470" s="72">
        <v>29</v>
      </c>
      <c r="L470" s="62"/>
      <c r="M470" s="47">
        <f t="shared" ref="M470:M530" si="10">+K470*L470</f>
        <v>0</v>
      </c>
      <c r="N470" s="45"/>
    </row>
    <row r="471" spans="2:14" x14ac:dyDescent="0.3">
      <c r="B471" s="42" t="s">
        <v>334</v>
      </c>
      <c r="C471" s="5" t="s">
        <v>1223</v>
      </c>
      <c r="D471" s="5">
        <v>10</v>
      </c>
      <c r="E471" s="41" t="s">
        <v>1240</v>
      </c>
      <c r="F471" s="3" t="s">
        <v>22</v>
      </c>
      <c r="G471" s="3" t="s">
        <v>1230</v>
      </c>
      <c r="H471" s="9" t="s">
        <v>13</v>
      </c>
      <c r="I471" s="42" t="s">
        <v>1330</v>
      </c>
      <c r="J471" s="3" t="s">
        <v>10</v>
      </c>
      <c r="K471" s="72">
        <v>48</v>
      </c>
      <c r="L471" s="62"/>
      <c r="M471" s="47">
        <f t="shared" si="10"/>
        <v>0</v>
      </c>
      <c r="N471" s="45"/>
    </row>
    <row r="472" spans="2:14" x14ac:dyDescent="0.3">
      <c r="B472" s="42" t="s">
        <v>333</v>
      </c>
      <c r="C472" s="5" t="s">
        <v>1223</v>
      </c>
      <c r="D472" s="5">
        <v>10</v>
      </c>
      <c r="E472" s="41" t="s">
        <v>1239</v>
      </c>
      <c r="F472" s="3" t="s">
        <v>22</v>
      </c>
      <c r="G472" s="3" t="s">
        <v>1230</v>
      </c>
      <c r="H472" s="9" t="s">
        <v>13</v>
      </c>
      <c r="I472" s="42" t="s">
        <v>1237</v>
      </c>
      <c r="J472" s="3" t="s">
        <v>10</v>
      </c>
      <c r="K472" s="72">
        <v>15</v>
      </c>
      <c r="L472" s="62"/>
      <c r="M472" s="47">
        <f t="shared" si="10"/>
        <v>0</v>
      </c>
      <c r="N472" s="45"/>
    </row>
    <row r="473" spans="2:14" x14ac:dyDescent="0.3">
      <c r="B473" s="42" t="s">
        <v>331</v>
      </c>
      <c r="C473" s="5" t="s">
        <v>1223</v>
      </c>
      <c r="D473" s="5">
        <v>10</v>
      </c>
      <c r="E473" s="41" t="s">
        <v>1236</v>
      </c>
      <c r="F473" s="3" t="s">
        <v>22</v>
      </c>
      <c r="G473" s="3" t="s">
        <v>1230</v>
      </c>
      <c r="H473" s="9" t="s">
        <v>13</v>
      </c>
      <c r="I473" s="42" t="s">
        <v>1237</v>
      </c>
      <c r="J473" s="3" t="s">
        <v>10</v>
      </c>
      <c r="K473" s="72">
        <v>15</v>
      </c>
      <c r="L473" s="62"/>
      <c r="M473" s="47">
        <f t="shared" si="10"/>
        <v>0</v>
      </c>
      <c r="N473" s="45"/>
    </row>
    <row r="474" spans="2:14" x14ac:dyDescent="0.3">
      <c r="B474" s="42" t="s">
        <v>332</v>
      </c>
      <c r="C474" s="5" t="s">
        <v>1223</v>
      </c>
      <c r="D474" s="5">
        <v>10</v>
      </c>
      <c r="E474" s="41" t="s">
        <v>1238</v>
      </c>
      <c r="F474" s="3" t="s">
        <v>22</v>
      </c>
      <c r="G474" s="3" t="s">
        <v>1230</v>
      </c>
      <c r="H474" s="9" t="s">
        <v>13</v>
      </c>
      <c r="I474" s="42" t="s">
        <v>1237</v>
      </c>
      <c r="J474" s="3" t="s">
        <v>10</v>
      </c>
      <c r="K474" s="72">
        <v>15</v>
      </c>
      <c r="L474" s="62"/>
      <c r="M474" s="47">
        <f t="shared" si="10"/>
        <v>0</v>
      </c>
      <c r="N474" s="45"/>
    </row>
    <row r="475" spans="2:14" x14ac:dyDescent="0.3">
      <c r="B475" s="42" t="s">
        <v>330</v>
      </c>
      <c r="C475" s="5" t="s">
        <v>1223</v>
      </c>
      <c r="D475" s="5">
        <v>10</v>
      </c>
      <c r="E475" s="41" t="s">
        <v>1234</v>
      </c>
      <c r="F475" s="3" t="s">
        <v>22</v>
      </c>
      <c r="G475" s="3" t="s">
        <v>1230</v>
      </c>
      <c r="H475" s="9" t="s">
        <v>13</v>
      </c>
      <c r="I475" s="42" t="s">
        <v>1235</v>
      </c>
      <c r="J475" s="3" t="s">
        <v>10</v>
      </c>
      <c r="K475" s="72">
        <v>15</v>
      </c>
      <c r="L475" s="62"/>
      <c r="M475" s="47">
        <f t="shared" si="10"/>
        <v>0</v>
      </c>
      <c r="N475" s="45"/>
    </row>
    <row r="476" spans="2:14" x14ac:dyDescent="0.3">
      <c r="B476" s="42" t="s">
        <v>324</v>
      </c>
      <c r="C476" s="5" t="s">
        <v>1223</v>
      </c>
      <c r="D476" s="5">
        <v>10</v>
      </c>
      <c r="E476" s="41" t="s">
        <v>1226</v>
      </c>
      <c r="F476" s="3" t="s">
        <v>22</v>
      </c>
      <c r="G476" s="3" t="s">
        <v>1227</v>
      </c>
      <c r="H476" s="9" t="s">
        <v>13</v>
      </c>
      <c r="I476" s="42" t="s">
        <v>1338</v>
      </c>
      <c r="J476" s="3" t="s">
        <v>10</v>
      </c>
      <c r="K476" s="72">
        <v>40</v>
      </c>
      <c r="L476" s="62"/>
      <c r="M476" s="47">
        <f t="shared" si="10"/>
        <v>0</v>
      </c>
      <c r="N476" s="45"/>
    </row>
    <row r="477" spans="2:14" x14ac:dyDescent="0.3">
      <c r="B477" s="42" t="s">
        <v>325</v>
      </c>
      <c r="C477" s="5" t="s">
        <v>1223</v>
      </c>
      <c r="D477" s="5">
        <v>10</v>
      </c>
      <c r="E477" s="41" t="s">
        <v>1228</v>
      </c>
      <c r="F477" s="3" t="s">
        <v>22</v>
      </c>
      <c r="G477" s="3" t="s">
        <v>1227</v>
      </c>
      <c r="H477" s="9" t="s">
        <v>13</v>
      </c>
      <c r="I477" s="42" t="s">
        <v>1328</v>
      </c>
      <c r="J477" s="3" t="s">
        <v>10</v>
      </c>
      <c r="K477" s="72">
        <v>40</v>
      </c>
      <c r="L477" s="62"/>
      <c r="M477" s="47">
        <f t="shared" si="10"/>
        <v>0</v>
      </c>
      <c r="N477" s="45"/>
    </row>
    <row r="478" spans="2:14" x14ac:dyDescent="0.3">
      <c r="B478" s="42" t="s">
        <v>329</v>
      </c>
      <c r="C478" s="5" t="s">
        <v>1223</v>
      </c>
      <c r="D478" s="5">
        <v>10</v>
      </c>
      <c r="E478" s="41" t="s">
        <v>1233</v>
      </c>
      <c r="F478" s="3" t="s">
        <v>22</v>
      </c>
      <c r="G478" s="3" t="s">
        <v>1230</v>
      </c>
      <c r="H478" s="9" t="s">
        <v>13</v>
      </c>
      <c r="I478" s="42" t="s">
        <v>1329</v>
      </c>
      <c r="J478" s="3" t="s">
        <v>10</v>
      </c>
      <c r="K478" s="72">
        <v>46</v>
      </c>
      <c r="L478" s="62"/>
      <c r="M478" s="47">
        <f t="shared" si="10"/>
        <v>0</v>
      </c>
      <c r="N478" s="45"/>
    </row>
    <row r="479" spans="2:14" x14ac:dyDescent="0.3">
      <c r="B479" s="42" t="s">
        <v>327</v>
      </c>
      <c r="C479" s="5" t="s">
        <v>1223</v>
      </c>
      <c r="D479" s="5">
        <v>10</v>
      </c>
      <c r="E479" s="41" t="s">
        <v>1231</v>
      </c>
      <c r="F479" s="3" t="s">
        <v>22</v>
      </c>
      <c r="G479" s="3" t="s">
        <v>1230</v>
      </c>
      <c r="H479" s="9" t="s">
        <v>13</v>
      </c>
      <c r="I479" s="42" t="s">
        <v>1329</v>
      </c>
      <c r="J479" s="3" t="s">
        <v>10</v>
      </c>
      <c r="K479" s="72">
        <v>46</v>
      </c>
      <c r="L479" s="62"/>
      <c r="M479" s="47">
        <f t="shared" si="10"/>
        <v>0</v>
      </c>
      <c r="N479" s="45"/>
    </row>
    <row r="480" spans="2:14" x14ac:dyDescent="0.3">
      <c r="B480" s="42" t="s">
        <v>328</v>
      </c>
      <c r="C480" s="5" t="s">
        <v>1223</v>
      </c>
      <c r="D480" s="5">
        <v>10</v>
      </c>
      <c r="E480" s="41" t="s">
        <v>1232</v>
      </c>
      <c r="F480" s="3" t="s">
        <v>22</v>
      </c>
      <c r="G480" s="3" t="s">
        <v>1230</v>
      </c>
      <c r="H480" s="9" t="s">
        <v>13</v>
      </c>
      <c r="I480" s="42" t="s">
        <v>1329</v>
      </c>
      <c r="J480" s="3" t="s">
        <v>10</v>
      </c>
      <c r="K480" s="72">
        <v>46</v>
      </c>
      <c r="L480" s="62"/>
      <c r="M480" s="47">
        <f t="shared" si="10"/>
        <v>0</v>
      </c>
      <c r="N480" s="45"/>
    </row>
    <row r="481" spans="2:14" x14ac:dyDescent="0.3">
      <c r="B481" s="42" t="s">
        <v>326</v>
      </c>
      <c r="C481" s="5" t="s">
        <v>1223</v>
      </c>
      <c r="D481" s="5">
        <v>10</v>
      </c>
      <c r="E481" s="41" t="s">
        <v>1229</v>
      </c>
      <c r="F481" s="3" t="s">
        <v>22</v>
      </c>
      <c r="G481" s="3" t="s">
        <v>1230</v>
      </c>
      <c r="H481" s="9" t="s">
        <v>13</v>
      </c>
      <c r="I481" s="42" t="s">
        <v>1333</v>
      </c>
      <c r="J481" s="3" t="s">
        <v>10</v>
      </c>
      <c r="K481" s="72">
        <v>40</v>
      </c>
      <c r="L481" s="62"/>
      <c r="M481" s="47">
        <f t="shared" si="10"/>
        <v>0</v>
      </c>
      <c r="N481" s="45"/>
    </row>
    <row r="482" spans="2:14" x14ac:dyDescent="0.3">
      <c r="B482" s="42" t="s">
        <v>1087</v>
      </c>
      <c r="C482" s="5" t="s">
        <v>1108</v>
      </c>
      <c r="D482" s="5">
        <v>10</v>
      </c>
      <c r="E482" s="41" t="s">
        <v>1104</v>
      </c>
      <c r="F482" s="3" t="s">
        <v>22</v>
      </c>
      <c r="G482" s="3" t="s">
        <v>212</v>
      </c>
      <c r="H482" s="9" t="s">
        <v>13</v>
      </c>
      <c r="I482" s="3"/>
      <c r="J482" s="3"/>
      <c r="K482" s="72">
        <v>1</v>
      </c>
      <c r="L482" s="62"/>
      <c r="M482" s="47">
        <f t="shared" si="10"/>
        <v>0</v>
      </c>
      <c r="N482" s="45"/>
    </row>
    <row r="483" spans="2:14" x14ac:dyDescent="0.3">
      <c r="B483" s="42" t="s">
        <v>492</v>
      </c>
      <c r="C483" s="5" t="s">
        <v>1108</v>
      </c>
      <c r="D483" s="5">
        <v>10</v>
      </c>
      <c r="E483" s="41" t="s">
        <v>822</v>
      </c>
      <c r="F483" s="3" t="s">
        <v>22</v>
      </c>
      <c r="G483" s="3" t="s">
        <v>211</v>
      </c>
      <c r="H483" s="9" t="s">
        <v>13</v>
      </c>
      <c r="I483" s="3"/>
      <c r="J483" s="3" t="s">
        <v>11</v>
      </c>
      <c r="K483" s="72">
        <v>17</v>
      </c>
      <c r="L483" s="62"/>
      <c r="M483" s="47">
        <f t="shared" si="10"/>
        <v>0</v>
      </c>
      <c r="N483" s="45"/>
    </row>
    <row r="484" spans="2:14" x14ac:dyDescent="0.3">
      <c r="B484" s="42" t="s">
        <v>510</v>
      </c>
      <c r="C484" s="5" t="s">
        <v>1108</v>
      </c>
      <c r="D484" s="5">
        <v>10</v>
      </c>
      <c r="E484" s="41" t="s">
        <v>837</v>
      </c>
      <c r="F484" s="3" t="s">
        <v>22</v>
      </c>
      <c r="G484" s="3" t="s">
        <v>211</v>
      </c>
      <c r="H484" s="9" t="s">
        <v>13</v>
      </c>
      <c r="I484" s="3"/>
      <c r="J484" s="3" t="s">
        <v>11</v>
      </c>
      <c r="K484" s="72">
        <v>3</v>
      </c>
      <c r="L484" s="62"/>
      <c r="M484" s="47">
        <f t="shared" si="10"/>
        <v>0</v>
      </c>
      <c r="N484" s="45"/>
    </row>
    <row r="485" spans="2:14" x14ac:dyDescent="0.3">
      <c r="B485" s="42" t="s">
        <v>511</v>
      </c>
      <c r="C485" s="5" t="s">
        <v>1108</v>
      </c>
      <c r="D485" s="5">
        <v>10</v>
      </c>
      <c r="E485" s="41" t="s">
        <v>838</v>
      </c>
      <c r="F485" s="3" t="s">
        <v>22</v>
      </c>
      <c r="G485" s="3" t="s">
        <v>211</v>
      </c>
      <c r="H485" s="9" t="s">
        <v>13</v>
      </c>
      <c r="I485" s="3"/>
      <c r="J485" s="3" t="s">
        <v>11</v>
      </c>
      <c r="K485" s="72">
        <v>3</v>
      </c>
      <c r="L485" s="62"/>
      <c r="M485" s="47">
        <f t="shared" si="10"/>
        <v>0</v>
      </c>
      <c r="N485" s="45"/>
    </row>
    <row r="486" spans="2:14" x14ac:dyDescent="0.3">
      <c r="B486" s="42" t="s">
        <v>1086</v>
      </c>
      <c r="C486" s="5" t="s">
        <v>1108</v>
      </c>
      <c r="D486" s="5">
        <v>10</v>
      </c>
      <c r="E486" s="41" t="s">
        <v>839</v>
      </c>
      <c r="F486" s="3" t="s">
        <v>22</v>
      </c>
      <c r="G486" s="3" t="s">
        <v>211</v>
      </c>
      <c r="H486" s="9" t="s">
        <v>13</v>
      </c>
      <c r="I486" s="3"/>
      <c r="J486" s="3" t="s">
        <v>11</v>
      </c>
      <c r="K486" s="72">
        <v>3</v>
      </c>
      <c r="L486" s="62"/>
      <c r="M486" s="47">
        <f t="shared" si="10"/>
        <v>0</v>
      </c>
      <c r="N486" s="45"/>
    </row>
    <row r="487" spans="2:14" x14ac:dyDescent="0.3">
      <c r="B487" s="42" t="s">
        <v>512</v>
      </c>
      <c r="C487" s="5" t="s">
        <v>1108</v>
      </c>
      <c r="D487" s="5">
        <v>10</v>
      </c>
      <c r="E487" s="41" t="s">
        <v>840</v>
      </c>
      <c r="F487" s="3" t="s">
        <v>22</v>
      </c>
      <c r="G487" s="3" t="s">
        <v>211</v>
      </c>
      <c r="H487" s="9" t="s">
        <v>13</v>
      </c>
      <c r="I487" s="3"/>
      <c r="J487" s="3" t="s">
        <v>11</v>
      </c>
      <c r="K487" s="72">
        <v>3</v>
      </c>
      <c r="L487" s="62"/>
      <c r="M487" s="47">
        <f t="shared" si="10"/>
        <v>0</v>
      </c>
      <c r="N487" s="45"/>
    </row>
    <row r="488" spans="2:14" x14ac:dyDescent="0.3">
      <c r="B488" s="42" t="s">
        <v>1088</v>
      </c>
      <c r="C488" s="5" t="s">
        <v>1108</v>
      </c>
      <c r="D488" s="5">
        <v>10</v>
      </c>
      <c r="E488" s="41" t="s">
        <v>1105</v>
      </c>
      <c r="F488" s="3" t="s">
        <v>22</v>
      </c>
      <c r="G488" s="3" t="s">
        <v>212</v>
      </c>
      <c r="H488" s="9" t="s">
        <v>13</v>
      </c>
      <c r="I488" s="3"/>
      <c r="J488" s="3"/>
      <c r="K488" s="72">
        <v>1</v>
      </c>
      <c r="L488" s="62"/>
      <c r="M488" s="47">
        <f t="shared" si="10"/>
        <v>0</v>
      </c>
      <c r="N488" s="45"/>
    </row>
    <row r="489" spans="2:14" x14ac:dyDescent="0.3">
      <c r="B489" s="42" t="s">
        <v>550</v>
      </c>
      <c r="C489" s="5" t="s">
        <v>1108</v>
      </c>
      <c r="D489" s="5">
        <v>10</v>
      </c>
      <c r="E489" s="41" t="s">
        <v>1106</v>
      </c>
      <c r="F489" s="3" t="s">
        <v>22</v>
      </c>
      <c r="G489" s="3" t="s">
        <v>212</v>
      </c>
      <c r="H489" s="9" t="s">
        <v>13</v>
      </c>
      <c r="I489" s="3"/>
      <c r="J489" s="3"/>
      <c r="K489" s="72">
        <v>1</v>
      </c>
      <c r="L489" s="62"/>
      <c r="M489" s="47">
        <f t="shared" si="10"/>
        <v>0</v>
      </c>
      <c r="N489" s="45"/>
    </row>
    <row r="490" spans="2:14" x14ac:dyDescent="0.3">
      <c r="B490" s="42" t="s">
        <v>494</v>
      </c>
      <c r="C490" s="5" t="s">
        <v>1108</v>
      </c>
      <c r="D490" s="5">
        <v>10</v>
      </c>
      <c r="E490" s="41" t="s">
        <v>823</v>
      </c>
      <c r="F490" s="3" t="s">
        <v>22</v>
      </c>
      <c r="G490" s="3" t="s">
        <v>211</v>
      </c>
      <c r="H490" s="9" t="s">
        <v>13</v>
      </c>
      <c r="I490" s="3"/>
      <c r="J490" s="3" t="s">
        <v>11</v>
      </c>
      <c r="K490" s="72">
        <v>14</v>
      </c>
      <c r="L490" s="62"/>
      <c r="M490" s="47">
        <f t="shared" si="10"/>
        <v>0</v>
      </c>
      <c r="N490" s="45"/>
    </row>
    <row r="491" spans="2:14" x14ac:dyDescent="0.3">
      <c r="B491" s="42" t="s">
        <v>646</v>
      </c>
      <c r="C491" s="5" t="s">
        <v>1108</v>
      </c>
      <c r="D491" s="5">
        <v>10</v>
      </c>
      <c r="E491" s="41" t="s">
        <v>1107</v>
      </c>
      <c r="F491" s="3" t="s">
        <v>22</v>
      </c>
      <c r="G491" s="3" t="s">
        <v>212</v>
      </c>
      <c r="H491" s="9" t="s">
        <v>13</v>
      </c>
      <c r="I491" s="3"/>
      <c r="J491" s="3"/>
      <c r="K491" s="72">
        <v>1</v>
      </c>
      <c r="L491" s="62"/>
      <c r="M491" s="47">
        <f t="shared" si="10"/>
        <v>0</v>
      </c>
      <c r="N491" s="45"/>
    </row>
    <row r="492" spans="2:14" x14ac:dyDescent="0.3">
      <c r="B492" s="42" t="s">
        <v>495</v>
      </c>
      <c r="C492" s="5" t="s">
        <v>1108</v>
      </c>
      <c r="D492" s="5">
        <v>10</v>
      </c>
      <c r="E492" s="41" t="s">
        <v>824</v>
      </c>
      <c r="F492" s="3" t="s">
        <v>22</v>
      </c>
      <c r="G492" s="3" t="s">
        <v>211</v>
      </c>
      <c r="H492" s="9" t="s">
        <v>13</v>
      </c>
      <c r="I492" s="3"/>
      <c r="J492" s="3" t="s">
        <v>11</v>
      </c>
      <c r="K492" s="72">
        <v>14</v>
      </c>
      <c r="L492" s="62"/>
      <c r="M492" s="47">
        <f t="shared" si="10"/>
        <v>0</v>
      </c>
      <c r="N492" s="45"/>
    </row>
    <row r="493" spans="2:14" x14ac:dyDescent="0.3">
      <c r="B493" s="42" t="s">
        <v>501</v>
      </c>
      <c r="C493" s="5" t="s">
        <v>1108</v>
      </c>
      <c r="D493" s="5">
        <v>10</v>
      </c>
      <c r="E493" s="41" t="s">
        <v>830</v>
      </c>
      <c r="F493" s="3" t="s">
        <v>22</v>
      </c>
      <c r="G493" s="3" t="s">
        <v>212</v>
      </c>
      <c r="H493" s="9" t="s">
        <v>13</v>
      </c>
      <c r="I493" s="3"/>
      <c r="J493" s="3" t="s">
        <v>10</v>
      </c>
      <c r="K493" s="72">
        <v>2</v>
      </c>
      <c r="L493" s="62"/>
      <c r="M493" s="47">
        <f t="shared" si="10"/>
        <v>0</v>
      </c>
      <c r="N493" s="45"/>
    </row>
    <row r="494" spans="2:14" x14ac:dyDescent="0.3">
      <c r="B494" s="42" t="s">
        <v>2031</v>
      </c>
      <c r="C494" s="5" t="s">
        <v>1108</v>
      </c>
      <c r="D494" s="5">
        <v>11</v>
      </c>
      <c r="E494" s="41" t="s">
        <v>1761</v>
      </c>
      <c r="F494" s="3" t="s">
        <v>1195</v>
      </c>
      <c r="G494" s="3" t="s">
        <v>1420</v>
      </c>
      <c r="H494" s="9" t="s">
        <v>13</v>
      </c>
      <c r="I494" s="3"/>
      <c r="J494" s="3"/>
      <c r="K494" s="72">
        <v>26</v>
      </c>
      <c r="L494" s="62"/>
      <c r="M494" s="47">
        <f t="shared" si="10"/>
        <v>0</v>
      </c>
      <c r="N494" s="45"/>
    </row>
    <row r="495" spans="2:14" x14ac:dyDescent="0.3">
      <c r="B495" s="42" t="s">
        <v>2032</v>
      </c>
      <c r="C495" s="5" t="s">
        <v>1108</v>
      </c>
      <c r="D495" s="5">
        <v>11</v>
      </c>
      <c r="E495" s="41" t="s">
        <v>1764</v>
      </c>
      <c r="F495" s="3" t="s">
        <v>1195</v>
      </c>
      <c r="G495" s="3" t="s">
        <v>1418</v>
      </c>
      <c r="H495" s="9" t="s">
        <v>13</v>
      </c>
      <c r="I495" s="3"/>
      <c r="J495" s="3"/>
      <c r="K495" s="72">
        <v>8</v>
      </c>
      <c r="L495" s="62"/>
      <c r="M495" s="47">
        <f t="shared" si="10"/>
        <v>0</v>
      </c>
      <c r="N495" s="45"/>
    </row>
    <row r="496" spans="2:14" x14ac:dyDescent="0.3">
      <c r="B496" s="42" t="s">
        <v>2033</v>
      </c>
      <c r="C496" s="5" t="s">
        <v>1108</v>
      </c>
      <c r="D496" s="5">
        <v>11</v>
      </c>
      <c r="E496" s="41" t="s">
        <v>1762</v>
      </c>
      <c r="F496" s="3" t="s">
        <v>1195</v>
      </c>
      <c r="G496" s="3" t="s">
        <v>1420</v>
      </c>
      <c r="H496" s="9" t="s">
        <v>13</v>
      </c>
      <c r="I496" s="3"/>
      <c r="J496" s="3"/>
      <c r="K496" s="72">
        <v>9</v>
      </c>
      <c r="L496" s="62"/>
      <c r="M496" s="47">
        <f t="shared" si="10"/>
        <v>0</v>
      </c>
      <c r="N496" s="45" t="s">
        <v>1449</v>
      </c>
    </row>
    <row r="497" spans="2:14" x14ac:dyDescent="0.3">
      <c r="B497" s="42" t="s">
        <v>2034</v>
      </c>
      <c r="C497" s="5" t="s">
        <v>1108</v>
      </c>
      <c r="D497" s="5">
        <v>11</v>
      </c>
      <c r="E497" s="41" t="s">
        <v>1763</v>
      </c>
      <c r="F497" s="3" t="s">
        <v>1195</v>
      </c>
      <c r="G497" s="3" t="s">
        <v>1419</v>
      </c>
      <c r="H497" s="9" t="s">
        <v>13</v>
      </c>
      <c r="I497" s="3"/>
      <c r="J497" s="3"/>
      <c r="K497" s="72">
        <v>27</v>
      </c>
      <c r="L497" s="62"/>
      <c r="M497" s="47">
        <f t="shared" si="10"/>
        <v>0</v>
      </c>
      <c r="N497" s="45" t="s">
        <v>1448</v>
      </c>
    </row>
    <row r="498" spans="2:14" x14ac:dyDescent="0.3">
      <c r="B498" s="42" t="s">
        <v>2035</v>
      </c>
      <c r="C498" s="5" t="s">
        <v>1108</v>
      </c>
      <c r="D498" s="5">
        <v>11</v>
      </c>
      <c r="E498" s="41" t="s">
        <v>1765</v>
      </c>
      <c r="F498" s="3" t="s">
        <v>1195</v>
      </c>
      <c r="G498" s="3" t="s">
        <v>1418</v>
      </c>
      <c r="H498" s="9" t="s">
        <v>13</v>
      </c>
      <c r="I498" s="3"/>
      <c r="J498" s="3"/>
      <c r="K498" s="72">
        <v>10</v>
      </c>
      <c r="L498" s="62"/>
      <c r="M498" s="47">
        <f t="shared" si="10"/>
        <v>0</v>
      </c>
      <c r="N498" s="45" t="s">
        <v>300</v>
      </c>
    </row>
    <row r="499" spans="2:14" x14ac:dyDescent="0.3">
      <c r="B499" s="42" t="s">
        <v>2134</v>
      </c>
      <c r="C499" s="54" t="s">
        <v>1312</v>
      </c>
      <c r="D499" s="54">
        <v>11</v>
      </c>
      <c r="E499" s="50" t="s">
        <v>1719</v>
      </c>
      <c r="F499" s="54" t="s">
        <v>1195</v>
      </c>
      <c r="G499" s="54" t="s">
        <v>58</v>
      </c>
      <c r="H499" s="54" t="s">
        <v>13</v>
      </c>
      <c r="I499" s="60">
        <v>100000</v>
      </c>
      <c r="J499" s="54" t="s">
        <v>686</v>
      </c>
      <c r="K499" s="73">
        <v>1</v>
      </c>
      <c r="L499" s="65"/>
      <c r="M499" s="47">
        <f t="shared" si="10"/>
        <v>0</v>
      </c>
      <c r="N499" s="45"/>
    </row>
    <row r="500" spans="2:14" x14ac:dyDescent="0.3">
      <c r="B500" s="42" t="s">
        <v>2135</v>
      </c>
      <c r="C500" s="54" t="s">
        <v>1312</v>
      </c>
      <c r="D500" s="54">
        <v>11</v>
      </c>
      <c r="E500" s="50" t="s">
        <v>1734</v>
      </c>
      <c r="F500" s="54" t="s">
        <v>1195</v>
      </c>
      <c r="G500" s="54" t="s">
        <v>58</v>
      </c>
      <c r="H500" s="54" t="s">
        <v>13</v>
      </c>
      <c r="I500" s="60">
        <v>100000</v>
      </c>
      <c r="J500" s="54" t="s">
        <v>686</v>
      </c>
      <c r="K500" s="73">
        <v>1</v>
      </c>
      <c r="L500" s="65"/>
      <c r="M500" s="47">
        <f t="shared" si="10"/>
        <v>0</v>
      </c>
      <c r="N500" s="45"/>
    </row>
    <row r="501" spans="2:14" x14ac:dyDescent="0.3">
      <c r="B501" s="42" t="s">
        <v>2136</v>
      </c>
      <c r="C501" s="54" t="s">
        <v>1312</v>
      </c>
      <c r="D501" s="54">
        <v>11</v>
      </c>
      <c r="E501" s="50" t="s">
        <v>1720</v>
      </c>
      <c r="F501" s="54" t="s">
        <v>1195</v>
      </c>
      <c r="G501" s="54" t="s">
        <v>58</v>
      </c>
      <c r="H501" s="54" t="s">
        <v>13</v>
      </c>
      <c r="I501" s="60">
        <v>100000</v>
      </c>
      <c r="J501" s="54" t="s">
        <v>686</v>
      </c>
      <c r="K501" s="73">
        <v>1</v>
      </c>
      <c r="L501" s="65"/>
      <c r="M501" s="47">
        <f t="shared" si="10"/>
        <v>0</v>
      </c>
      <c r="N501" s="45"/>
    </row>
    <row r="502" spans="2:14" x14ac:dyDescent="0.3">
      <c r="B502" s="67" t="s">
        <v>385</v>
      </c>
      <c r="C502" s="54" t="s">
        <v>1312</v>
      </c>
      <c r="D502" s="54">
        <v>11</v>
      </c>
      <c r="E502" s="52" t="s">
        <v>784</v>
      </c>
      <c r="F502" s="54" t="s">
        <v>1195</v>
      </c>
      <c r="G502" s="54" t="s">
        <v>58</v>
      </c>
      <c r="H502" s="54" t="s">
        <v>13</v>
      </c>
      <c r="I502" s="54" t="s">
        <v>686</v>
      </c>
      <c r="J502" s="54" t="s">
        <v>686</v>
      </c>
      <c r="K502" s="73">
        <v>1</v>
      </c>
      <c r="L502" s="65"/>
      <c r="M502" s="47">
        <f t="shared" si="10"/>
        <v>0</v>
      </c>
      <c r="N502" s="45"/>
    </row>
    <row r="503" spans="2:14" x14ac:dyDescent="0.3">
      <c r="B503" s="67" t="s">
        <v>384</v>
      </c>
      <c r="C503" s="54" t="s">
        <v>1312</v>
      </c>
      <c r="D503" s="54">
        <v>11</v>
      </c>
      <c r="E503" s="52" t="s">
        <v>783</v>
      </c>
      <c r="F503" s="54" t="s">
        <v>1195</v>
      </c>
      <c r="G503" s="54" t="s">
        <v>58</v>
      </c>
      <c r="H503" s="54" t="s">
        <v>13</v>
      </c>
      <c r="I503" s="60">
        <v>100000</v>
      </c>
      <c r="J503" s="54" t="s">
        <v>686</v>
      </c>
      <c r="K503" s="73">
        <v>1</v>
      </c>
      <c r="L503" s="65"/>
      <c r="M503" s="47">
        <f t="shared" si="10"/>
        <v>0</v>
      </c>
      <c r="N503" s="45"/>
    </row>
    <row r="504" spans="2:14" x14ac:dyDescent="0.3">
      <c r="B504" s="67" t="s">
        <v>382</v>
      </c>
      <c r="C504" s="54" t="s">
        <v>1312</v>
      </c>
      <c r="D504" s="54">
        <v>11</v>
      </c>
      <c r="E504" s="52" t="s">
        <v>781</v>
      </c>
      <c r="F504" s="54" t="s">
        <v>1195</v>
      </c>
      <c r="G504" s="54" t="s">
        <v>58</v>
      </c>
      <c r="H504" s="54" t="s">
        <v>13</v>
      </c>
      <c r="I504" s="60">
        <v>100000</v>
      </c>
      <c r="J504" s="54" t="s">
        <v>686</v>
      </c>
      <c r="K504" s="73">
        <v>5</v>
      </c>
      <c r="L504" s="65"/>
      <c r="M504" s="47">
        <f t="shared" si="10"/>
        <v>0</v>
      </c>
      <c r="N504" s="45"/>
    </row>
    <row r="505" spans="2:14" x14ac:dyDescent="0.3">
      <c r="B505" s="67" t="s">
        <v>380</v>
      </c>
      <c r="C505" s="54" t="s">
        <v>1312</v>
      </c>
      <c r="D505" s="54">
        <v>11</v>
      </c>
      <c r="E505" s="52" t="s">
        <v>779</v>
      </c>
      <c r="F505" s="54" t="s">
        <v>1195</v>
      </c>
      <c r="G505" s="54" t="s">
        <v>58</v>
      </c>
      <c r="H505" s="54" t="s">
        <v>13</v>
      </c>
      <c r="I505" s="36">
        <v>2000</v>
      </c>
      <c r="J505" s="54" t="s">
        <v>10</v>
      </c>
      <c r="K505" s="73">
        <v>74</v>
      </c>
      <c r="L505" s="65"/>
      <c r="M505" s="47">
        <f t="shared" si="10"/>
        <v>0</v>
      </c>
      <c r="N505" s="45"/>
    </row>
    <row r="506" spans="2:14" x14ac:dyDescent="0.3">
      <c r="B506" s="67" t="s">
        <v>379</v>
      </c>
      <c r="C506" s="54" t="s">
        <v>1312</v>
      </c>
      <c r="D506" s="54">
        <v>11</v>
      </c>
      <c r="E506" s="52" t="s">
        <v>778</v>
      </c>
      <c r="F506" s="54" t="s">
        <v>1195</v>
      </c>
      <c r="G506" s="54" t="s">
        <v>58</v>
      </c>
      <c r="H506" s="54" t="s">
        <v>13</v>
      </c>
      <c r="I506" s="36">
        <v>2000</v>
      </c>
      <c r="J506" s="54" t="s">
        <v>10</v>
      </c>
      <c r="K506" s="73">
        <v>75</v>
      </c>
      <c r="L506" s="65"/>
      <c r="M506" s="47">
        <f t="shared" si="10"/>
        <v>0</v>
      </c>
      <c r="N506" s="45"/>
    </row>
    <row r="507" spans="2:14" x14ac:dyDescent="0.3">
      <c r="B507" s="67" t="s">
        <v>377</v>
      </c>
      <c r="C507" s="54" t="s">
        <v>1312</v>
      </c>
      <c r="D507" s="54">
        <v>11</v>
      </c>
      <c r="E507" s="50" t="s">
        <v>1511</v>
      </c>
      <c r="F507" s="54" t="s">
        <v>1195</v>
      </c>
      <c r="G507" s="54" t="s">
        <v>59</v>
      </c>
      <c r="H507" s="54" t="s">
        <v>13</v>
      </c>
      <c r="I507" s="60">
        <v>7000</v>
      </c>
      <c r="J507" s="54" t="s">
        <v>11</v>
      </c>
      <c r="K507" s="73">
        <v>155</v>
      </c>
      <c r="L507" s="65"/>
      <c r="M507" s="47">
        <f t="shared" si="10"/>
        <v>0</v>
      </c>
      <c r="N507" s="45"/>
    </row>
    <row r="508" spans="2:14" x14ac:dyDescent="0.3">
      <c r="B508" s="67" t="s">
        <v>381</v>
      </c>
      <c r="C508" s="54" t="s">
        <v>1312</v>
      </c>
      <c r="D508" s="54">
        <v>11</v>
      </c>
      <c r="E508" s="52" t="s">
        <v>780</v>
      </c>
      <c r="F508" s="54" t="s">
        <v>1195</v>
      </c>
      <c r="G508" s="54" t="s">
        <v>58</v>
      </c>
      <c r="H508" s="54" t="s">
        <v>13</v>
      </c>
      <c r="I508" s="36">
        <v>2000</v>
      </c>
      <c r="J508" s="54" t="s">
        <v>10</v>
      </c>
      <c r="K508" s="73">
        <v>77</v>
      </c>
      <c r="L508" s="65"/>
      <c r="M508" s="47">
        <f t="shared" si="10"/>
        <v>0</v>
      </c>
      <c r="N508" s="45"/>
    </row>
    <row r="509" spans="2:14" x14ac:dyDescent="0.3">
      <c r="B509" s="67" t="s">
        <v>378</v>
      </c>
      <c r="C509" s="54" t="s">
        <v>1312</v>
      </c>
      <c r="D509" s="54">
        <v>11</v>
      </c>
      <c r="E509" s="52" t="s">
        <v>777</v>
      </c>
      <c r="F509" s="54" t="s">
        <v>1195</v>
      </c>
      <c r="G509" s="54" t="s">
        <v>58</v>
      </c>
      <c r="H509" s="54" t="s">
        <v>13</v>
      </c>
      <c r="I509" s="36">
        <v>2500</v>
      </c>
      <c r="J509" s="54" t="s">
        <v>10</v>
      </c>
      <c r="K509" s="73">
        <v>111</v>
      </c>
      <c r="L509" s="65"/>
      <c r="M509" s="47">
        <f t="shared" si="10"/>
        <v>0</v>
      </c>
      <c r="N509" s="45"/>
    </row>
    <row r="510" spans="2:14" x14ac:dyDescent="0.3">
      <c r="B510" s="67" t="s">
        <v>383</v>
      </c>
      <c r="C510" s="54" t="s">
        <v>1312</v>
      </c>
      <c r="D510" s="54">
        <v>11</v>
      </c>
      <c r="E510" s="52" t="s">
        <v>782</v>
      </c>
      <c r="F510" s="54" t="s">
        <v>1195</v>
      </c>
      <c r="G510" s="54" t="s">
        <v>58</v>
      </c>
      <c r="H510" s="54" t="s">
        <v>13</v>
      </c>
      <c r="I510" s="60">
        <v>100000</v>
      </c>
      <c r="J510" s="54" t="s">
        <v>686</v>
      </c>
      <c r="K510" s="73">
        <v>1</v>
      </c>
      <c r="L510" s="65"/>
      <c r="M510" s="47">
        <f t="shared" si="10"/>
        <v>0</v>
      </c>
      <c r="N510" s="45"/>
    </row>
    <row r="511" spans="2:14" x14ac:dyDescent="0.3">
      <c r="B511" s="42" t="s">
        <v>2018</v>
      </c>
      <c r="C511" s="5" t="s">
        <v>1108</v>
      </c>
      <c r="D511" s="5">
        <v>12</v>
      </c>
      <c r="E511" s="41" t="s">
        <v>1760</v>
      </c>
      <c r="F511" s="3" t="s">
        <v>1195</v>
      </c>
      <c r="G511" s="3" t="s">
        <v>1419</v>
      </c>
      <c r="H511" s="9" t="s">
        <v>1275</v>
      </c>
      <c r="I511" s="3"/>
      <c r="J511" s="3"/>
      <c r="K511" s="72">
        <v>65</v>
      </c>
      <c r="L511" s="62"/>
      <c r="M511" s="47">
        <f t="shared" si="10"/>
        <v>0</v>
      </c>
      <c r="N511" s="45"/>
    </row>
    <row r="512" spans="2:14" x14ac:dyDescent="0.3">
      <c r="B512" s="42" t="s">
        <v>659</v>
      </c>
      <c r="C512" s="5" t="s">
        <v>1146</v>
      </c>
      <c r="D512" s="5">
        <v>12</v>
      </c>
      <c r="E512" s="41" t="s">
        <v>1196</v>
      </c>
      <c r="F512" s="3" t="s">
        <v>1195</v>
      </c>
      <c r="G512" s="3" t="s">
        <v>1197</v>
      </c>
      <c r="H512" s="9" t="s">
        <v>1275</v>
      </c>
      <c r="I512" s="9"/>
      <c r="J512" s="3"/>
      <c r="K512" s="72">
        <v>6</v>
      </c>
      <c r="L512" s="62"/>
      <c r="M512" s="47">
        <f t="shared" si="10"/>
        <v>0</v>
      </c>
      <c r="N512" s="45"/>
    </row>
    <row r="513" spans="2:14" x14ac:dyDescent="0.3">
      <c r="B513" s="42" t="s">
        <v>659</v>
      </c>
      <c r="C513" s="5" t="s">
        <v>285</v>
      </c>
      <c r="D513" s="5">
        <v>12</v>
      </c>
      <c r="E513" s="41" t="s">
        <v>988</v>
      </c>
      <c r="F513" s="3" t="s">
        <v>1195</v>
      </c>
      <c r="G513" s="3" t="s">
        <v>300</v>
      </c>
      <c r="H513" s="9" t="s">
        <v>1275</v>
      </c>
      <c r="I513" s="9" t="s">
        <v>1316</v>
      </c>
      <c r="J513" s="3" t="s">
        <v>10</v>
      </c>
      <c r="K513" s="72">
        <v>50</v>
      </c>
      <c r="L513" s="62"/>
      <c r="M513" s="47">
        <f t="shared" si="10"/>
        <v>0</v>
      </c>
      <c r="N513" s="45"/>
    </row>
    <row r="514" spans="2:14" x14ac:dyDescent="0.3">
      <c r="B514" s="42" t="s">
        <v>1848</v>
      </c>
      <c r="C514" s="5" t="s">
        <v>1396</v>
      </c>
      <c r="D514" s="5">
        <v>13</v>
      </c>
      <c r="E514" s="41" t="s">
        <v>732</v>
      </c>
      <c r="F514" s="3" t="s">
        <v>14</v>
      </c>
      <c r="G514" s="3" t="s">
        <v>26</v>
      </c>
      <c r="H514" s="9" t="s">
        <v>13</v>
      </c>
      <c r="I514" s="46">
        <v>40000</v>
      </c>
      <c r="J514" s="3" t="s">
        <v>10</v>
      </c>
      <c r="K514" s="72">
        <v>6</v>
      </c>
      <c r="L514" s="62"/>
      <c r="M514" s="47">
        <f t="shared" si="10"/>
        <v>0</v>
      </c>
      <c r="N514" s="45"/>
    </row>
    <row r="515" spans="2:14" x14ac:dyDescent="0.3">
      <c r="B515" s="42" t="s">
        <v>1849</v>
      </c>
      <c r="C515" s="5" t="s">
        <v>1396</v>
      </c>
      <c r="D515" s="5">
        <v>13</v>
      </c>
      <c r="E515" s="41" t="s">
        <v>1605</v>
      </c>
      <c r="F515" s="3" t="s">
        <v>14</v>
      </c>
      <c r="G515" s="3" t="s">
        <v>1052</v>
      </c>
      <c r="H515" s="9" t="s">
        <v>13</v>
      </c>
      <c r="I515" s="3"/>
      <c r="J515" s="3" t="s">
        <v>11</v>
      </c>
      <c r="K515" s="72">
        <v>10</v>
      </c>
      <c r="L515" s="62"/>
      <c r="M515" s="47">
        <f t="shared" si="10"/>
        <v>0</v>
      </c>
      <c r="N515" s="45"/>
    </row>
    <row r="516" spans="2:14" x14ac:dyDescent="0.3">
      <c r="B516" s="42" t="s">
        <v>1850</v>
      </c>
      <c r="C516" s="5" t="s">
        <v>1396</v>
      </c>
      <c r="D516" s="5">
        <v>13</v>
      </c>
      <c r="E516" s="41" t="s">
        <v>1555</v>
      </c>
      <c r="F516" s="3" t="s">
        <v>14</v>
      </c>
      <c r="G516" s="3" t="s">
        <v>302</v>
      </c>
      <c r="H516" s="9" t="s">
        <v>13</v>
      </c>
      <c r="I516" s="9" t="s">
        <v>1342</v>
      </c>
      <c r="J516" s="3" t="s">
        <v>10</v>
      </c>
      <c r="K516" s="72">
        <v>6</v>
      </c>
      <c r="L516" s="62"/>
      <c r="M516" s="47">
        <f t="shared" si="10"/>
        <v>0</v>
      </c>
      <c r="N516" s="45"/>
    </row>
    <row r="517" spans="2:14" x14ac:dyDescent="0.3">
      <c r="B517" s="42" t="s">
        <v>1851</v>
      </c>
      <c r="C517" s="5" t="s">
        <v>1396</v>
      </c>
      <c r="D517" s="5">
        <v>13</v>
      </c>
      <c r="E517" s="41" t="s">
        <v>1554</v>
      </c>
      <c r="F517" s="3" t="s">
        <v>14</v>
      </c>
      <c r="G517" s="3" t="s">
        <v>160</v>
      </c>
      <c r="H517" s="9" t="s">
        <v>13</v>
      </c>
      <c r="I517" s="36">
        <v>2500</v>
      </c>
      <c r="J517" s="3" t="s">
        <v>11</v>
      </c>
      <c r="K517" s="72">
        <v>6</v>
      </c>
      <c r="L517" s="62"/>
      <c r="M517" s="47">
        <f t="shared" si="10"/>
        <v>0</v>
      </c>
      <c r="N517" s="45"/>
    </row>
    <row r="518" spans="2:14" x14ac:dyDescent="0.3">
      <c r="B518" s="42" t="s">
        <v>1852</v>
      </c>
      <c r="C518" s="5" t="s">
        <v>1396</v>
      </c>
      <c r="D518" s="5">
        <v>13</v>
      </c>
      <c r="E518" s="41" t="s">
        <v>1553</v>
      </c>
      <c r="F518" s="3" t="s">
        <v>14</v>
      </c>
      <c r="G518" s="3" t="s">
        <v>156</v>
      </c>
      <c r="H518" s="9" t="s">
        <v>13</v>
      </c>
      <c r="I518" s="36">
        <v>2500</v>
      </c>
      <c r="J518" s="3" t="s">
        <v>11</v>
      </c>
      <c r="K518" s="72">
        <v>6</v>
      </c>
      <c r="L518" s="62"/>
      <c r="M518" s="47">
        <f t="shared" si="10"/>
        <v>0</v>
      </c>
      <c r="N518" s="45"/>
    </row>
    <row r="519" spans="2:14" x14ac:dyDescent="0.3">
      <c r="B519" s="42" t="s">
        <v>1853</v>
      </c>
      <c r="C519" s="5" t="s">
        <v>1396</v>
      </c>
      <c r="D519" s="5">
        <v>13</v>
      </c>
      <c r="E519" s="41" t="s">
        <v>879</v>
      </c>
      <c r="F519" s="3" t="s">
        <v>14</v>
      </c>
      <c r="G519" s="3" t="s">
        <v>233</v>
      </c>
      <c r="H519" s="9" t="s">
        <v>13</v>
      </c>
      <c r="I519" s="36">
        <v>1500</v>
      </c>
      <c r="J519" s="3" t="s">
        <v>10</v>
      </c>
      <c r="K519" s="72">
        <v>6</v>
      </c>
      <c r="L519" s="62"/>
      <c r="M519" s="47">
        <f t="shared" si="10"/>
        <v>0</v>
      </c>
      <c r="N519" s="45"/>
    </row>
    <row r="520" spans="2:14" x14ac:dyDescent="0.3">
      <c r="B520" s="42" t="s">
        <v>1854</v>
      </c>
      <c r="C520" s="5" t="s">
        <v>1396</v>
      </c>
      <c r="D520" s="5">
        <v>13</v>
      </c>
      <c r="E520" s="41" t="s">
        <v>743</v>
      </c>
      <c r="F520" s="3" t="s">
        <v>14</v>
      </c>
      <c r="G520" s="3" t="s">
        <v>35</v>
      </c>
      <c r="H520" s="9" t="s">
        <v>13</v>
      </c>
      <c r="I520" s="36">
        <v>1500</v>
      </c>
      <c r="J520" s="9" t="s">
        <v>10</v>
      </c>
      <c r="K520" s="72">
        <v>8</v>
      </c>
      <c r="L520" s="62"/>
      <c r="M520" s="47">
        <f t="shared" si="10"/>
        <v>0</v>
      </c>
      <c r="N520" s="45"/>
    </row>
    <row r="521" spans="2:14" x14ac:dyDescent="0.3">
      <c r="B521" s="42" t="s">
        <v>1855</v>
      </c>
      <c r="C521" s="5" t="s">
        <v>1396</v>
      </c>
      <c r="D521" s="5">
        <v>13</v>
      </c>
      <c r="E521" s="41" t="s">
        <v>1639</v>
      </c>
      <c r="F521" s="3" t="s">
        <v>14</v>
      </c>
      <c r="G521" s="3" t="s">
        <v>303</v>
      </c>
      <c r="H521" s="9" t="s">
        <v>13</v>
      </c>
      <c r="I521" s="9"/>
      <c r="J521" s="3"/>
      <c r="K521" s="72">
        <v>6</v>
      </c>
      <c r="L521" s="62"/>
      <c r="M521" s="47">
        <f t="shared" si="10"/>
        <v>0</v>
      </c>
      <c r="N521" s="45"/>
    </row>
    <row r="522" spans="2:14" x14ac:dyDescent="0.3">
      <c r="B522" s="42" t="s">
        <v>1877</v>
      </c>
      <c r="C522" s="5" t="s">
        <v>1223</v>
      </c>
      <c r="D522" s="5">
        <v>13</v>
      </c>
      <c r="E522" s="41" t="s">
        <v>1621</v>
      </c>
      <c r="F522" s="3" t="s">
        <v>14</v>
      </c>
      <c r="G522" s="3" t="s">
        <v>725</v>
      </c>
      <c r="H522" s="9" t="s">
        <v>13</v>
      </c>
      <c r="I522" s="3"/>
      <c r="J522" s="3" t="s">
        <v>11</v>
      </c>
      <c r="K522" s="72">
        <v>30</v>
      </c>
      <c r="L522" s="62"/>
      <c r="M522" s="47">
        <f t="shared" si="10"/>
        <v>0</v>
      </c>
      <c r="N522" s="45"/>
    </row>
    <row r="523" spans="2:14" x14ac:dyDescent="0.3">
      <c r="B523" s="42" t="s">
        <v>1878</v>
      </c>
      <c r="C523" s="5" t="s">
        <v>1223</v>
      </c>
      <c r="D523" s="5">
        <v>13</v>
      </c>
      <c r="E523" s="41" t="s">
        <v>1593</v>
      </c>
      <c r="F523" s="3" t="s">
        <v>14</v>
      </c>
      <c r="G523" s="3" t="s">
        <v>1594</v>
      </c>
      <c r="H523" s="9" t="s">
        <v>13</v>
      </c>
      <c r="I523" s="3"/>
      <c r="J523" s="3" t="s">
        <v>11</v>
      </c>
      <c r="K523" s="72">
        <v>4</v>
      </c>
      <c r="L523" s="62"/>
      <c r="M523" s="47">
        <f t="shared" si="10"/>
        <v>0</v>
      </c>
      <c r="N523" s="45"/>
    </row>
    <row r="524" spans="2:14" x14ac:dyDescent="0.3">
      <c r="B524" s="42" t="s">
        <v>1879</v>
      </c>
      <c r="C524" s="5" t="s">
        <v>1223</v>
      </c>
      <c r="D524" s="5">
        <v>13</v>
      </c>
      <c r="E524" s="41" t="s">
        <v>1603</v>
      </c>
      <c r="F524" s="3" t="s">
        <v>14</v>
      </c>
      <c r="G524" s="3" t="s">
        <v>1364</v>
      </c>
      <c r="H524" s="9" t="s">
        <v>13</v>
      </c>
      <c r="I524" s="3"/>
      <c r="J524" s="3" t="s">
        <v>11</v>
      </c>
      <c r="K524" s="72">
        <v>80.5</v>
      </c>
      <c r="L524" s="62"/>
      <c r="M524" s="47">
        <f t="shared" si="10"/>
        <v>0</v>
      </c>
      <c r="N524" s="45"/>
    </row>
    <row r="525" spans="2:14" x14ac:dyDescent="0.3">
      <c r="B525" s="42" t="s">
        <v>1880</v>
      </c>
      <c r="C525" s="5" t="s">
        <v>1223</v>
      </c>
      <c r="D525" s="5">
        <v>13</v>
      </c>
      <c r="E525" s="41" t="s">
        <v>1601</v>
      </c>
      <c r="F525" s="3" t="s">
        <v>14</v>
      </c>
      <c r="G525" s="3" t="s">
        <v>1362</v>
      </c>
      <c r="H525" s="9" t="s">
        <v>13</v>
      </c>
      <c r="I525" s="3"/>
      <c r="J525" s="3" t="s">
        <v>11</v>
      </c>
      <c r="K525" s="72">
        <v>22</v>
      </c>
      <c r="L525" s="62"/>
      <c r="M525" s="47">
        <f t="shared" si="10"/>
        <v>0</v>
      </c>
      <c r="N525" s="45"/>
    </row>
    <row r="526" spans="2:14" x14ac:dyDescent="0.3">
      <c r="B526" s="42" t="s">
        <v>1881</v>
      </c>
      <c r="C526" s="5" t="s">
        <v>1223</v>
      </c>
      <c r="D526" s="5">
        <v>13</v>
      </c>
      <c r="E526" s="41" t="s">
        <v>1602</v>
      </c>
      <c r="F526" s="3" t="s">
        <v>14</v>
      </c>
      <c r="G526" s="3" t="s">
        <v>1363</v>
      </c>
      <c r="H526" s="9" t="s">
        <v>13</v>
      </c>
      <c r="I526" s="3"/>
      <c r="J526" s="3" t="s">
        <v>11</v>
      </c>
      <c r="K526" s="72">
        <v>2</v>
      </c>
      <c r="L526" s="62"/>
      <c r="M526" s="47">
        <f t="shared" si="10"/>
        <v>0</v>
      </c>
      <c r="N526" s="45"/>
    </row>
    <row r="527" spans="2:14" x14ac:dyDescent="0.3">
      <c r="B527" s="42" t="s">
        <v>1885</v>
      </c>
      <c r="C527" s="5" t="s">
        <v>1314</v>
      </c>
      <c r="D527" s="5">
        <v>13</v>
      </c>
      <c r="E527" s="41" t="s">
        <v>1373</v>
      </c>
      <c r="F527" s="3" t="s">
        <v>14</v>
      </c>
      <c r="G527" s="3" t="s">
        <v>1373</v>
      </c>
      <c r="H527" s="3" t="s">
        <v>13</v>
      </c>
      <c r="I527" s="3"/>
      <c r="J527" s="3" t="s">
        <v>10</v>
      </c>
      <c r="K527" s="72">
        <v>160</v>
      </c>
      <c r="L527" s="62"/>
      <c r="M527" s="47">
        <f t="shared" si="10"/>
        <v>0</v>
      </c>
      <c r="N527" s="45"/>
    </row>
    <row r="528" spans="2:14" x14ac:dyDescent="0.3">
      <c r="B528" s="42" t="s">
        <v>1886</v>
      </c>
      <c r="C528" s="5" t="s">
        <v>1314</v>
      </c>
      <c r="D528" s="5">
        <v>13</v>
      </c>
      <c r="E528" s="41" t="s">
        <v>1374</v>
      </c>
      <c r="F528" s="3" t="s">
        <v>14</v>
      </c>
      <c r="G528" s="3" t="s">
        <v>1373</v>
      </c>
      <c r="H528" s="3" t="s">
        <v>13</v>
      </c>
      <c r="I528" s="3"/>
      <c r="J528" s="3" t="s">
        <v>10</v>
      </c>
      <c r="K528" s="72">
        <v>54</v>
      </c>
      <c r="L528" s="62"/>
      <c r="M528" s="47">
        <f t="shared" si="10"/>
        <v>0</v>
      </c>
      <c r="N528" s="45"/>
    </row>
    <row r="529" spans="2:14" x14ac:dyDescent="0.3">
      <c r="B529" s="42" t="s">
        <v>1887</v>
      </c>
      <c r="C529" s="5" t="s">
        <v>1314</v>
      </c>
      <c r="D529" s="5">
        <v>13</v>
      </c>
      <c r="E529" s="41" t="s">
        <v>1378</v>
      </c>
      <c r="F529" s="3" t="s">
        <v>14</v>
      </c>
      <c r="G529" s="3" t="s">
        <v>1379</v>
      </c>
      <c r="H529" s="3" t="s">
        <v>13</v>
      </c>
      <c r="I529" s="3"/>
      <c r="J529" s="3" t="s">
        <v>10</v>
      </c>
      <c r="K529" s="72">
        <v>110</v>
      </c>
      <c r="L529" s="62"/>
      <c r="M529" s="47">
        <f t="shared" si="10"/>
        <v>0</v>
      </c>
      <c r="N529" s="45"/>
    </row>
    <row r="530" spans="2:14" x14ac:dyDescent="0.3">
      <c r="B530" s="42" t="s">
        <v>1888</v>
      </c>
      <c r="C530" s="5" t="s">
        <v>1314</v>
      </c>
      <c r="D530" s="5">
        <v>13</v>
      </c>
      <c r="E530" s="41" t="s">
        <v>1380</v>
      </c>
      <c r="F530" s="3" t="s">
        <v>14</v>
      </c>
      <c r="G530" s="3" t="s">
        <v>1381</v>
      </c>
      <c r="H530" s="3" t="s">
        <v>13</v>
      </c>
      <c r="I530" s="3"/>
      <c r="J530" s="3" t="s">
        <v>10</v>
      </c>
      <c r="K530" s="72">
        <v>50</v>
      </c>
      <c r="L530" s="62"/>
      <c r="M530" s="47">
        <f t="shared" si="10"/>
        <v>0</v>
      </c>
      <c r="N530" s="45"/>
    </row>
    <row r="531" spans="2:14" x14ac:dyDescent="0.3">
      <c r="B531" s="42" t="s">
        <v>1889</v>
      </c>
      <c r="C531" s="5" t="s">
        <v>1314</v>
      </c>
      <c r="D531" s="5">
        <v>13</v>
      </c>
      <c r="E531" s="41" t="s">
        <v>1377</v>
      </c>
      <c r="F531" s="3" t="s">
        <v>14</v>
      </c>
      <c r="G531" s="3" t="s">
        <v>1376</v>
      </c>
      <c r="H531" s="3" t="s">
        <v>13</v>
      </c>
      <c r="I531" s="3"/>
      <c r="J531" s="3" t="s">
        <v>10</v>
      </c>
      <c r="K531" s="72">
        <v>300</v>
      </c>
      <c r="L531" s="62"/>
      <c r="M531" s="47">
        <f t="shared" ref="M531:M545" si="11">+K531*L531</f>
        <v>0</v>
      </c>
      <c r="N531" s="45"/>
    </row>
    <row r="532" spans="2:14" x14ac:dyDescent="0.3">
      <c r="B532" s="42" t="s">
        <v>1890</v>
      </c>
      <c r="C532" s="5" t="s">
        <v>1314</v>
      </c>
      <c r="D532" s="5">
        <v>13</v>
      </c>
      <c r="E532" s="41" t="s">
        <v>1375</v>
      </c>
      <c r="F532" s="3" t="s">
        <v>14</v>
      </c>
      <c r="G532" s="3" t="s">
        <v>1376</v>
      </c>
      <c r="H532" s="3" t="s">
        <v>13</v>
      </c>
      <c r="I532" s="3"/>
      <c r="J532" s="3" t="s">
        <v>10</v>
      </c>
      <c r="K532" s="72">
        <v>1000</v>
      </c>
      <c r="L532" s="62"/>
      <c r="M532" s="47">
        <f t="shared" si="11"/>
        <v>0</v>
      </c>
      <c r="N532" s="45"/>
    </row>
    <row r="533" spans="2:14" x14ac:dyDescent="0.3">
      <c r="B533" s="42" t="s">
        <v>1891</v>
      </c>
      <c r="C533" s="5" t="s">
        <v>1314</v>
      </c>
      <c r="D533" s="5">
        <v>13</v>
      </c>
      <c r="E533" s="41" t="s">
        <v>1382</v>
      </c>
      <c r="F533" s="3" t="s">
        <v>14</v>
      </c>
      <c r="G533" s="3" t="s">
        <v>1382</v>
      </c>
      <c r="H533" s="3" t="s">
        <v>13</v>
      </c>
      <c r="I533" s="3"/>
      <c r="J533" s="3" t="s">
        <v>10</v>
      </c>
      <c r="K533" s="72">
        <v>20</v>
      </c>
      <c r="L533" s="62"/>
      <c r="M533" s="47">
        <f t="shared" si="11"/>
        <v>0</v>
      </c>
      <c r="N533" s="45"/>
    </row>
    <row r="534" spans="2:14" x14ac:dyDescent="0.3">
      <c r="B534" s="42" t="s">
        <v>1892</v>
      </c>
      <c r="C534" s="5" t="s">
        <v>1314</v>
      </c>
      <c r="D534" s="5">
        <v>13</v>
      </c>
      <c r="E534" s="41" t="s">
        <v>1383</v>
      </c>
      <c r="F534" s="3" t="s">
        <v>14</v>
      </c>
      <c r="G534" s="3" t="s">
        <v>1384</v>
      </c>
      <c r="H534" s="3" t="s">
        <v>13</v>
      </c>
      <c r="I534" s="3"/>
      <c r="J534" s="3" t="s">
        <v>10</v>
      </c>
      <c r="K534" s="72">
        <v>10</v>
      </c>
      <c r="L534" s="62"/>
      <c r="M534" s="47">
        <f t="shared" si="11"/>
        <v>0</v>
      </c>
      <c r="N534" s="45"/>
    </row>
    <row r="535" spans="2:14" x14ac:dyDescent="0.3">
      <c r="B535" s="42" t="s">
        <v>1928</v>
      </c>
      <c r="C535" s="5" t="s">
        <v>1787</v>
      </c>
      <c r="D535" s="5">
        <v>13</v>
      </c>
      <c r="E535" s="41" t="s">
        <v>1790</v>
      </c>
      <c r="F535" s="3" t="s">
        <v>14</v>
      </c>
      <c r="G535" s="3" t="s">
        <v>686</v>
      </c>
      <c r="H535" s="9" t="s">
        <v>13</v>
      </c>
      <c r="I535" s="3"/>
      <c r="J535" s="3"/>
      <c r="K535" s="72">
        <v>5</v>
      </c>
      <c r="L535" s="62"/>
      <c r="M535" s="47">
        <f t="shared" si="11"/>
        <v>0</v>
      </c>
      <c r="N535" s="45"/>
    </row>
    <row r="536" spans="2:14" x14ac:dyDescent="0.3">
      <c r="B536" s="42" t="s">
        <v>1929</v>
      </c>
      <c r="C536" s="5" t="s">
        <v>1787</v>
      </c>
      <c r="D536" s="5">
        <v>13</v>
      </c>
      <c r="E536" s="41" t="s">
        <v>1806</v>
      </c>
      <c r="F536" s="3" t="s">
        <v>14</v>
      </c>
      <c r="G536" s="3" t="s">
        <v>686</v>
      </c>
      <c r="H536" s="9" t="s">
        <v>13</v>
      </c>
      <c r="I536" s="3"/>
      <c r="J536" s="3"/>
      <c r="K536" s="72">
        <v>8</v>
      </c>
      <c r="L536" s="62"/>
      <c r="M536" s="47">
        <f t="shared" si="11"/>
        <v>0</v>
      </c>
      <c r="N536" s="45"/>
    </row>
    <row r="537" spans="2:14" x14ac:dyDescent="0.3">
      <c r="B537" s="42" t="s">
        <v>1930</v>
      </c>
      <c r="C537" s="5" t="s">
        <v>1787</v>
      </c>
      <c r="D537" s="5">
        <v>13</v>
      </c>
      <c r="E537" s="41" t="s">
        <v>1807</v>
      </c>
      <c r="F537" s="3" t="s">
        <v>14</v>
      </c>
      <c r="G537" s="3" t="s">
        <v>686</v>
      </c>
      <c r="H537" s="9" t="s">
        <v>13</v>
      </c>
      <c r="I537" s="3"/>
      <c r="J537" s="3"/>
      <c r="K537" s="72">
        <v>26</v>
      </c>
      <c r="L537" s="62"/>
      <c r="M537" s="47">
        <f t="shared" si="11"/>
        <v>0</v>
      </c>
      <c r="N537" s="45"/>
    </row>
    <row r="538" spans="2:14" x14ac:dyDescent="0.3">
      <c r="B538" s="42" t="s">
        <v>1931</v>
      </c>
      <c r="C538" s="5" t="s">
        <v>1787</v>
      </c>
      <c r="D538" s="5">
        <v>13</v>
      </c>
      <c r="E538" s="41" t="s">
        <v>1834</v>
      </c>
      <c r="F538" s="3" t="s">
        <v>14</v>
      </c>
      <c r="G538" s="3" t="s">
        <v>686</v>
      </c>
      <c r="H538" s="9" t="s">
        <v>13</v>
      </c>
      <c r="I538" s="3"/>
      <c r="J538" s="3"/>
      <c r="K538" s="72">
        <v>4</v>
      </c>
      <c r="L538" s="62"/>
      <c r="M538" s="47">
        <f t="shared" si="11"/>
        <v>0</v>
      </c>
      <c r="N538" s="45"/>
    </row>
    <row r="539" spans="2:14" x14ac:dyDescent="0.3">
      <c r="B539" s="42" t="s">
        <v>1932</v>
      </c>
      <c r="C539" s="5" t="s">
        <v>1787</v>
      </c>
      <c r="D539" s="5">
        <v>13</v>
      </c>
      <c r="E539" s="41" t="s">
        <v>1835</v>
      </c>
      <c r="F539" s="3" t="s">
        <v>14</v>
      </c>
      <c r="G539" s="3" t="s">
        <v>686</v>
      </c>
      <c r="H539" s="9" t="s">
        <v>13</v>
      </c>
      <c r="I539" s="3"/>
      <c r="J539" s="3"/>
      <c r="K539" s="72">
        <v>10</v>
      </c>
      <c r="L539" s="62"/>
      <c r="M539" s="47">
        <f t="shared" si="11"/>
        <v>0</v>
      </c>
      <c r="N539" s="45"/>
    </row>
    <row r="540" spans="2:14" x14ac:dyDescent="0.3">
      <c r="B540" s="42" t="s">
        <v>1933</v>
      </c>
      <c r="C540" s="5" t="s">
        <v>1787</v>
      </c>
      <c r="D540" s="5">
        <v>13</v>
      </c>
      <c r="E540" s="41" t="s">
        <v>1836</v>
      </c>
      <c r="F540" s="3" t="s">
        <v>14</v>
      </c>
      <c r="G540" s="3" t="s">
        <v>686</v>
      </c>
      <c r="H540" s="9" t="s">
        <v>13</v>
      </c>
      <c r="I540" s="3"/>
      <c r="J540" s="3"/>
      <c r="K540" s="72">
        <v>4</v>
      </c>
      <c r="L540" s="62"/>
      <c r="M540" s="47">
        <f t="shared" si="11"/>
        <v>0</v>
      </c>
      <c r="N540" s="45"/>
    </row>
    <row r="541" spans="2:14" x14ac:dyDescent="0.3">
      <c r="B541" s="42" t="s">
        <v>1934</v>
      </c>
      <c r="C541" s="5" t="s">
        <v>1787</v>
      </c>
      <c r="D541" s="5">
        <v>13</v>
      </c>
      <c r="E541" s="41" t="s">
        <v>1837</v>
      </c>
      <c r="F541" s="3" t="s">
        <v>14</v>
      </c>
      <c r="G541" s="3" t="s">
        <v>686</v>
      </c>
      <c r="H541" s="9" t="s">
        <v>13</v>
      </c>
      <c r="I541" s="3"/>
      <c r="J541" s="3"/>
      <c r="K541" s="72">
        <v>4</v>
      </c>
      <c r="L541" s="62"/>
      <c r="M541" s="47">
        <f t="shared" si="11"/>
        <v>0</v>
      </c>
      <c r="N541" s="45"/>
    </row>
    <row r="542" spans="2:14" x14ac:dyDescent="0.3">
      <c r="B542" s="42" t="s">
        <v>1935</v>
      </c>
      <c r="C542" s="5" t="s">
        <v>1787</v>
      </c>
      <c r="D542" s="5">
        <v>13</v>
      </c>
      <c r="E542" s="41" t="s">
        <v>1839</v>
      </c>
      <c r="F542" s="3" t="s">
        <v>14</v>
      </c>
      <c r="G542" s="3" t="s">
        <v>686</v>
      </c>
      <c r="H542" s="9" t="s">
        <v>13</v>
      </c>
      <c r="I542" s="3"/>
      <c r="J542" s="3"/>
      <c r="K542" s="72">
        <v>12</v>
      </c>
      <c r="L542" s="62"/>
      <c r="M542" s="47">
        <f t="shared" si="11"/>
        <v>0</v>
      </c>
      <c r="N542" s="45"/>
    </row>
    <row r="543" spans="2:14" x14ac:dyDescent="0.3">
      <c r="B543" s="42" t="s">
        <v>1936</v>
      </c>
      <c r="C543" s="5" t="s">
        <v>1787</v>
      </c>
      <c r="D543" s="5">
        <v>13</v>
      </c>
      <c r="E543" s="41" t="s">
        <v>1840</v>
      </c>
      <c r="F543" s="3" t="s">
        <v>14</v>
      </c>
      <c r="G543" s="3" t="s">
        <v>686</v>
      </c>
      <c r="H543" s="9" t="s">
        <v>13</v>
      </c>
      <c r="I543" s="3"/>
      <c r="J543" s="3"/>
      <c r="K543" s="72">
        <v>131</v>
      </c>
      <c r="L543" s="62"/>
      <c r="M543" s="47">
        <f t="shared" si="11"/>
        <v>0</v>
      </c>
      <c r="N543" s="45"/>
    </row>
    <row r="544" spans="2:14" x14ac:dyDescent="0.3">
      <c r="B544" s="42" t="s">
        <v>1937</v>
      </c>
      <c r="C544" s="5" t="s">
        <v>1787</v>
      </c>
      <c r="D544" s="5">
        <v>13</v>
      </c>
      <c r="E544" s="41" t="s">
        <v>1841</v>
      </c>
      <c r="F544" s="3" t="s">
        <v>14</v>
      </c>
      <c r="G544" s="3" t="s">
        <v>686</v>
      </c>
      <c r="H544" s="9" t="s">
        <v>13</v>
      </c>
      <c r="I544" s="3"/>
      <c r="J544" s="3"/>
      <c r="K544" s="72">
        <v>220</v>
      </c>
      <c r="L544" s="62"/>
      <c r="M544" s="47">
        <f t="shared" si="11"/>
        <v>0</v>
      </c>
      <c r="N544" s="45"/>
    </row>
    <row r="545" spans="2:14" x14ac:dyDescent="0.3">
      <c r="B545" s="42" t="s">
        <v>1938</v>
      </c>
      <c r="C545" s="5" t="s">
        <v>1787</v>
      </c>
      <c r="D545" s="5">
        <v>13</v>
      </c>
      <c r="E545" s="41" t="s">
        <v>1842</v>
      </c>
      <c r="F545" s="3" t="s">
        <v>14</v>
      </c>
      <c r="G545" s="3" t="s">
        <v>686</v>
      </c>
      <c r="H545" s="9" t="s">
        <v>13</v>
      </c>
      <c r="I545" s="3"/>
      <c r="J545" s="3"/>
      <c r="K545" s="72">
        <v>219</v>
      </c>
      <c r="L545" s="62"/>
      <c r="M545" s="47">
        <f t="shared" si="11"/>
        <v>0</v>
      </c>
      <c r="N545" s="45"/>
    </row>
    <row r="546" spans="2:14" ht="15" x14ac:dyDescent="0.3">
      <c r="B546" s="42" t="s">
        <v>1975</v>
      </c>
      <c r="C546" s="5" t="s">
        <v>1397</v>
      </c>
      <c r="D546" s="5">
        <v>13</v>
      </c>
      <c r="E546" s="53" t="s">
        <v>1648</v>
      </c>
      <c r="F546" s="3" t="s">
        <v>14</v>
      </c>
      <c r="G546" s="5" t="s">
        <v>1649</v>
      </c>
      <c r="H546" s="9" t="s">
        <v>13</v>
      </c>
      <c r="I546" s="3"/>
      <c r="J546" s="3" t="s">
        <v>11</v>
      </c>
      <c r="K546" s="71">
        <v>60</v>
      </c>
      <c r="L546" s="64"/>
      <c r="M546" s="47">
        <f t="shared" ref="M546:M552" si="12">K546*L546</f>
        <v>0</v>
      </c>
      <c r="N546" s="45"/>
    </row>
    <row r="547" spans="2:14" ht="15" x14ac:dyDescent="0.3">
      <c r="B547" s="42" t="s">
        <v>1976</v>
      </c>
      <c r="C547" s="5" t="s">
        <v>1397</v>
      </c>
      <c r="D547" s="5">
        <v>13</v>
      </c>
      <c r="E547" s="53" t="s">
        <v>1647</v>
      </c>
      <c r="F547" s="3" t="s">
        <v>14</v>
      </c>
      <c r="G547" s="5" t="s">
        <v>1647</v>
      </c>
      <c r="H547" s="9" t="s">
        <v>13</v>
      </c>
      <c r="I547" s="3"/>
      <c r="J547" s="3" t="s">
        <v>11</v>
      </c>
      <c r="K547" s="71">
        <v>12</v>
      </c>
      <c r="L547" s="64"/>
      <c r="M547" s="47">
        <f t="shared" si="12"/>
        <v>0</v>
      </c>
      <c r="N547" s="45"/>
    </row>
    <row r="548" spans="2:14" ht="15" x14ac:dyDescent="0.3">
      <c r="B548" s="42" t="s">
        <v>1977</v>
      </c>
      <c r="C548" s="5" t="s">
        <v>1397</v>
      </c>
      <c r="D548" s="5">
        <v>13</v>
      </c>
      <c r="E548" s="53" t="s">
        <v>1641</v>
      </c>
      <c r="F548" s="3" t="s">
        <v>14</v>
      </c>
      <c r="G548" s="5" t="s">
        <v>1641</v>
      </c>
      <c r="H548" s="9" t="s">
        <v>13</v>
      </c>
      <c r="I548" s="3"/>
      <c r="J548" s="3" t="s">
        <v>11</v>
      </c>
      <c r="K548" s="71">
        <v>75</v>
      </c>
      <c r="L548" s="64"/>
      <c r="M548" s="47">
        <f t="shared" si="12"/>
        <v>0</v>
      </c>
      <c r="N548" s="45"/>
    </row>
    <row r="549" spans="2:14" ht="15" x14ac:dyDescent="0.3">
      <c r="B549" s="42" t="s">
        <v>1978</v>
      </c>
      <c r="C549" s="5" t="s">
        <v>1397</v>
      </c>
      <c r="D549" s="5">
        <v>13</v>
      </c>
      <c r="E549" s="51" t="s">
        <v>1650</v>
      </c>
      <c r="F549" s="3" t="s">
        <v>14</v>
      </c>
      <c r="G549" s="3" t="s">
        <v>1651</v>
      </c>
      <c r="H549" s="9" t="s">
        <v>13</v>
      </c>
      <c r="I549" s="3"/>
      <c r="J549" s="3" t="s">
        <v>11</v>
      </c>
      <c r="K549" s="74">
        <v>36</v>
      </c>
      <c r="L549" s="64"/>
      <c r="M549" s="47">
        <f t="shared" si="12"/>
        <v>0</v>
      </c>
      <c r="N549" s="45"/>
    </row>
    <row r="550" spans="2:14" ht="15" x14ac:dyDescent="0.3">
      <c r="B550" s="42" t="s">
        <v>1979</v>
      </c>
      <c r="C550" s="5" t="s">
        <v>1397</v>
      </c>
      <c r="D550" s="5">
        <v>13</v>
      </c>
      <c r="E550" s="53" t="s">
        <v>1640</v>
      </c>
      <c r="F550" s="3" t="s">
        <v>14</v>
      </c>
      <c r="G550" s="3" t="s">
        <v>686</v>
      </c>
      <c r="H550" s="9" t="s">
        <v>13</v>
      </c>
      <c r="I550" s="3"/>
      <c r="J550" s="3" t="s">
        <v>11</v>
      </c>
      <c r="K550" s="71">
        <v>40</v>
      </c>
      <c r="L550" s="64"/>
      <c r="M550" s="47">
        <f t="shared" si="12"/>
        <v>0</v>
      </c>
      <c r="N550" s="45"/>
    </row>
    <row r="551" spans="2:14" ht="15" x14ac:dyDescent="0.3">
      <c r="B551" s="42" t="s">
        <v>1980</v>
      </c>
      <c r="C551" s="5" t="s">
        <v>1397</v>
      </c>
      <c r="D551" s="5">
        <v>13</v>
      </c>
      <c r="E551" s="51" t="s">
        <v>1652</v>
      </c>
      <c r="F551" s="3" t="s">
        <v>14</v>
      </c>
      <c r="G551" s="3" t="s">
        <v>1653</v>
      </c>
      <c r="H551" s="9" t="s">
        <v>13</v>
      </c>
      <c r="I551" s="3"/>
      <c r="J551" s="3" t="s">
        <v>11</v>
      </c>
      <c r="K551" s="74">
        <v>20</v>
      </c>
      <c r="L551" s="64"/>
      <c r="M551" s="47">
        <f t="shared" si="12"/>
        <v>0</v>
      </c>
      <c r="N551" s="45"/>
    </row>
    <row r="552" spans="2:14" ht="15" x14ac:dyDescent="0.3">
      <c r="B552" s="42" t="s">
        <v>1981</v>
      </c>
      <c r="C552" s="5" t="s">
        <v>1397</v>
      </c>
      <c r="D552" s="5">
        <v>13</v>
      </c>
      <c r="E552" s="51" t="s">
        <v>1606</v>
      </c>
      <c r="F552" s="3" t="s">
        <v>14</v>
      </c>
      <c r="G552" s="3" t="s">
        <v>1582</v>
      </c>
      <c r="H552" s="9" t="s">
        <v>13</v>
      </c>
      <c r="I552" s="3"/>
      <c r="J552" s="3" t="s">
        <v>11</v>
      </c>
      <c r="K552" s="74">
        <v>1</v>
      </c>
      <c r="L552" s="64"/>
      <c r="M552" s="47">
        <f t="shared" si="12"/>
        <v>0</v>
      </c>
      <c r="N552" s="45"/>
    </row>
    <row r="553" spans="2:14" x14ac:dyDescent="0.3">
      <c r="B553" s="42" t="s">
        <v>1994</v>
      </c>
      <c r="C553" s="5" t="s">
        <v>1401</v>
      </c>
      <c r="D553" s="5">
        <v>13</v>
      </c>
      <c r="E553" s="41" t="s">
        <v>1613</v>
      </c>
      <c r="F553" s="3" t="s">
        <v>14</v>
      </c>
      <c r="G553" s="3" t="s">
        <v>1403</v>
      </c>
      <c r="H553" s="9" t="s">
        <v>13</v>
      </c>
      <c r="I553" s="43"/>
      <c r="J553" s="9"/>
      <c r="K553" s="72">
        <v>30</v>
      </c>
      <c r="L553" s="62"/>
      <c r="M553" s="47">
        <f t="shared" ref="M553:M603" si="13">+K553*L553</f>
        <v>0</v>
      </c>
      <c r="N553" s="45"/>
    </row>
    <row r="554" spans="2:14" x14ac:dyDescent="0.3">
      <c r="B554" s="42" t="s">
        <v>1995</v>
      </c>
      <c r="C554" s="5" t="s">
        <v>1401</v>
      </c>
      <c r="D554" s="5">
        <v>13</v>
      </c>
      <c r="E554" s="41" t="s">
        <v>1614</v>
      </c>
      <c r="F554" s="3" t="s">
        <v>14</v>
      </c>
      <c r="G554" s="3" t="s">
        <v>1404</v>
      </c>
      <c r="H554" s="9" t="s">
        <v>13</v>
      </c>
      <c r="I554" s="43"/>
      <c r="J554" s="9"/>
      <c r="K554" s="72">
        <v>2</v>
      </c>
      <c r="L554" s="62"/>
      <c r="M554" s="47">
        <f t="shared" si="13"/>
        <v>0</v>
      </c>
      <c r="N554" s="45"/>
    </row>
    <row r="555" spans="2:14" x14ac:dyDescent="0.3">
      <c r="B555" s="42" t="s">
        <v>1996</v>
      </c>
      <c r="C555" s="5" t="s">
        <v>1401</v>
      </c>
      <c r="D555" s="5">
        <v>13</v>
      </c>
      <c r="E555" s="41" t="s">
        <v>1612</v>
      </c>
      <c r="F555" s="3" t="s">
        <v>14</v>
      </c>
      <c r="G555" s="3" t="s">
        <v>1403</v>
      </c>
      <c r="H555" s="9" t="s">
        <v>13</v>
      </c>
      <c r="I555" s="43"/>
      <c r="J555" s="9"/>
      <c r="K555" s="72">
        <v>90</v>
      </c>
      <c r="L555" s="62"/>
      <c r="M555" s="47">
        <f t="shared" si="13"/>
        <v>0</v>
      </c>
      <c r="N555" s="45"/>
    </row>
    <row r="556" spans="2:14" x14ac:dyDescent="0.3">
      <c r="B556" s="42" t="s">
        <v>2003</v>
      </c>
      <c r="C556" s="5" t="s">
        <v>1536</v>
      </c>
      <c r="D556" s="5">
        <v>13</v>
      </c>
      <c r="E556" s="41" t="s">
        <v>1206</v>
      </c>
      <c r="F556" s="3" t="s">
        <v>14</v>
      </c>
      <c r="G556" s="3" t="s">
        <v>1202</v>
      </c>
      <c r="H556" s="9" t="s">
        <v>13</v>
      </c>
      <c r="I556" s="36">
        <v>15000</v>
      </c>
      <c r="J556" s="3" t="s">
        <v>10</v>
      </c>
      <c r="K556" s="73">
        <v>1</v>
      </c>
      <c r="L556" s="65"/>
      <c r="M556" s="47">
        <f t="shared" si="13"/>
        <v>0</v>
      </c>
      <c r="N556" s="45"/>
    </row>
    <row r="557" spans="2:14" x14ac:dyDescent="0.3">
      <c r="B557" s="42" t="s">
        <v>2004</v>
      </c>
      <c r="C557" s="5" t="s">
        <v>1536</v>
      </c>
      <c r="D557" s="5">
        <v>13</v>
      </c>
      <c r="E557" s="41" t="s">
        <v>1205</v>
      </c>
      <c r="F557" s="3" t="s">
        <v>14</v>
      </c>
      <c r="G557" s="3" t="s">
        <v>1202</v>
      </c>
      <c r="H557" s="9" t="s">
        <v>13</v>
      </c>
      <c r="I557" s="36">
        <v>10000</v>
      </c>
      <c r="J557" s="3" t="s">
        <v>10</v>
      </c>
      <c r="K557" s="73">
        <v>2</v>
      </c>
      <c r="L557" s="65"/>
      <c r="M557" s="47">
        <f t="shared" si="13"/>
        <v>0</v>
      </c>
      <c r="N557" s="45"/>
    </row>
    <row r="558" spans="2:14" x14ac:dyDescent="0.3">
      <c r="B558" s="42" t="s">
        <v>2005</v>
      </c>
      <c r="C558" s="5" t="s">
        <v>1536</v>
      </c>
      <c r="D558" s="5">
        <v>13</v>
      </c>
      <c r="E558" s="41" t="s">
        <v>1203</v>
      </c>
      <c r="F558" s="3" t="s">
        <v>14</v>
      </c>
      <c r="G558" s="3" t="s">
        <v>1202</v>
      </c>
      <c r="H558" s="9" t="s">
        <v>13</v>
      </c>
      <c r="I558" s="36">
        <v>10000</v>
      </c>
      <c r="J558" s="3" t="s">
        <v>10</v>
      </c>
      <c r="K558" s="73">
        <v>2</v>
      </c>
      <c r="L558" s="65"/>
      <c r="M558" s="47">
        <f t="shared" si="13"/>
        <v>0</v>
      </c>
      <c r="N558" s="45"/>
    </row>
    <row r="559" spans="2:14" x14ac:dyDescent="0.3">
      <c r="B559" s="42" t="s">
        <v>2006</v>
      </c>
      <c r="C559" s="5" t="s">
        <v>1536</v>
      </c>
      <c r="D559" s="5">
        <v>13</v>
      </c>
      <c r="E559" s="41" t="s">
        <v>1204</v>
      </c>
      <c r="F559" s="3" t="s">
        <v>14</v>
      </c>
      <c r="G559" s="3" t="s">
        <v>1202</v>
      </c>
      <c r="H559" s="9" t="s">
        <v>13</v>
      </c>
      <c r="I559" s="36">
        <v>10000</v>
      </c>
      <c r="J559" s="3" t="s">
        <v>10</v>
      </c>
      <c r="K559" s="73">
        <v>2</v>
      </c>
      <c r="L559" s="65"/>
      <c r="M559" s="47">
        <f t="shared" si="13"/>
        <v>0</v>
      </c>
      <c r="N559" s="45"/>
    </row>
    <row r="560" spans="2:14" x14ac:dyDescent="0.3">
      <c r="B560" s="42" t="s">
        <v>2007</v>
      </c>
      <c r="C560" s="5" t="s">
        <v>1536</v>
      </c>
      <c r="D560" s="5">
        <v>13</v>
      </c>
      <c r="E560" s="41" t="s">
        <v>1201</v>
      </c>
      <c r="F560" s="3" t="s">
        <v>14</v>
      </c>
      <c r="G560" s="3" t="s">
        <v>1202</v>
      </c>
      <c r="H560" s="9" t="s">
        <v>13</v>
      </c>
      <c r="I560" s="46">
        <v>20000</v>
      </c>
      <c r="J560" s="3" t="s">
        <v>10</v>
      </c>
      <c r="K560" s="73">
        <v>2</v>
      </c>
      <c r="L560" s="65"/>
      <c r="M560" s="47">
        <f t="shared" si="13"/>
        <v>0</v>
      </c>
      <c r="N560" s="45"/>
    </row>
    <row r="561" spans="2:14" x14ac:dyDescent="0.3">
      <c r="B561" s="42" t="s">
        <v>2008</v>
      </c>
      <c r="C561" s="3" t="s">
        <v>1536</v>
      </c>
      <c r="D561" s="3">
        <v>13</v>
      </c>
      <c r="E561" s="41" t="s">
        <v>1200</v>
      </c>
      <c r="F561" s="3" t="s">
        <v>14</v>
      </c>
      <c r="G561" s="3" t="s">
        <v>26</v>
      </c>
      <c r="H561" s="3" t="s">
        <v>13</v>
      </c>
      <c r="I561" s="36">
        <v>15000</v>
      </c>
      <c r="J561" s="3" t="s">
        <v>10</v>
      </c>
      <c r="K561" s="73">
        <v>50</v>
      </c>
      <c r="L561" s="65"/>
      <c r="M561" s="47">
        <f t="shared" si="13"/>
        <v>0</v>
      </c>
      <c r="N561" s="45"/>
    </row>
    <row r="562" spans="2:14" x14ac:dyDescent="0.3">
      <c r="B562" s="42" t="s">
        <v>2009</v>
      </c>
      <c r="C562" s="3" t="s">
        <v>1536</v>
      </c>
      <c r="D562" s="3">
        <v>13</v>
      </c>
      <c r="E562" s="41" t="s">
        <v>1207</v>
      </c>
      <c r="F562" s="3" t="s">
        <v>14</v>
      </c>
      <c r="G562" s="3" t="s">
        <v>1208</v>
      </c>
      <c r="H562" s="3" t="s">
        <v>13</v>
      </c>
      <c r="I562" s="36">
        <v>600000</v>
      </c>
      <c r="J562" s="3" t="s">
        <v>10</v>
      </c>
      <c r="K562" s="73">
        <v>50</v>
      </c>
      <c r="L562" s="65"/>
      <c r="M562" s="47">
        <f t="shared" si="13"/>
        <v>0</v>
      </c>
      <c r="N562" s="45"/>
    </row>
    <row r="563" spans="2:14" x14ac:dyDescent="0.3">
      <c r="B563" s="42" t="s">
        <v>2010</v>
      </c>
      <c r="C563" s="3" t="s">
        <v>1536</v>
      </c>
      <c r="D563" s="3">
        <v>13</v>
      </c>
      <c r="E563" s="41" t="s">
        <v>1671</v>
      </c>
      <c r="F563" s="3" t="s">
        <v>14</v>
      </c>
      <c r="G563" s="3" t="s">
        <v>1600</v>
      </c>
      <c r="H563" s="3" t="s">
        <v>13</v>
      </c>
      <c r="I563" s="36">
        <v>60000</v>
      </c>
      <c r="J563" s="3" t="s">
        <v>10</v>
      </c>
      <c r="K563" s="73">
        <v>7</v>
      </c>
      <c r="L563" s="65"/>
      <c r="M563" s="47">
        <f t="shared" si="13"/>
        <v>0</v>
      </c>
      <c r="N563" s="45"/>
    </row>
    <row r="564" spans="2:14" x14ac:dyDescent="0.3">
      <c r="B564" s="42" t="s">
        <v>2011</v>
      </c>
      <c r="C564" s="3" t="s">
        <v>1536</v>
      </c>
      <c r="D564" s="3">
        <v>13</v>
      </c>
      <c r="E564" s="41" t="s">
        <v>1609</v>
      </c>
      <c r="F564" s="3" t="s">
        <v>14</v>
      </c>
      <c r="G564" s="3" t="s">
        <v>1414</v>
      </c>
      <c r="H564" s="3" t="s">
        <v>13</v>
      </c>
      <c r="I564" s="36">
        <v>40000</v>
      </c>
      <c r="J564" s="3" t="s">
        <v>10</v>
      </c>
      <c r="K564" s="73">
        <v>7</v>
      </c>
      <c r="L564" s="65"/>
      <c r="M564" s="47">
        <f t="shared" si="13"/>
        <v>0</v>
      </c>
      <c r="N564" s="45"/>
    </row>
    <row r="565" spans="2:14" x14ac:dyDescent="0.3">
      <c r="B565" s="42" t="s">
        <v>2015</v>
      </c>
      <c r="C565" s="5" t="s">
        <v>285</v>
      </c>
      <c r="D565" s="5">
        <v>13</v>
      </c>
      <c r="E565" s="41" t="s">
        <v>1391</v>
      </c>
      <c r="F565" s="3" t="s">
        <v>14</v>
      </c>
      <c r="G565" s="3" t="s">
        <v>1392</v>
      </c>
      <c r="H565" s="3" t="s">
        <v>13</v>
      </c>
      <c r="I565" s="3" t="s">
        <v>1393</v>
      </c>
      <c r="J565" s="3" t="s">
        <v>10</v>
      </c>
      <c r="K565" s="72">
        <v>20</v>
      </c>
      <c r="L565" s="62"/>
      <c r="M565" s="47">
        <f t="shared" si="13"/>
        <v>0</v>
      </c>
      <c r="N565" s="45"/>
    </row>
    <row r="566" spans="2:14" x14ac:dyDescent="0.3">
      <c r="B566" s="42" t="s">
        <v>2016</v>
      </c>
      <c r="C566" s="5" t="s">
        <v>285</v>
      </c>
      <c r="D566" s="5">
        <v>13</v>
      </c>
      <c r="E566" s="41" t="s">
        <v>1394</v>
      </c>
      <c r="F566" s="3" t="s">
        <v>14</v>
      </c>
      <c r="G566" s="3" t="s">
        <v>1395</v>
      </c>
      <c r="H566" s="3" t="s">
        <v>13</v>
      </c>
      <c r="I566" s="3" t="s">
        <v>1339</v>
      </c>
      <c r="J566" s="3" t="s">
        <v>10</v>
      </c>
      <c r="K566" s="72">
        <v>20</v>
      </c>
      <c r="L566" s="62"/>
      <c r="M566" s="47">
        <f t="shared" si="13"/>
        <v>0</v>
      </c>
      <c r="N566" s="45"/>
    </row>
    <row r="567" spans="2:14" x14ac:dyDescent="0.3">
      <c r="B567" s="42" t="s">
        <v>2036</v>
      </c>
      <c r="C567" s="5" t="s">
        <v>1108</v>
      </c>
      <c r="D567" s="5">
        <v>13</v>
      </c>
      <c r="E567" s="41" t="s">
        <v>1767</v>
      </c>
      <c r="F567" s="3" t="s">
        <v>14</v>
      </c>
      <c r="G567" s="3" t="s">
        <v>1413</v>
      </c>
      <c r="H567" s="9" t="s">
        <v>13</v>
      </c>
      <c r="I567" s="3"/>
      <c r="J567" s="3"/>
      <c r="K567" s="72">
        <v>10</v>
      </c>
      <c r="L567" s="62"/>
      <c r="M567" s="47">
        <f t="shared" si="13"/>
        <v>0</v>
      </c>
      <c r="N567" s="45" t="s">
        <v>1440</v>
      </c>
    </row>
    <row r="568" spans="2:14" x14ac:dyDescent="0.3">
      <c r="B568" s="42" t="s">
        <v>2037</v>
      </c>
      <c r="C568" s="5" t="s">
        <v>1108</v>
      </c>
      <c r="D568" s="5">
        <v>13</v>
      </c>
      <c r="E568" s="41" t="s">
        <v>1766</v>
      </c>
      <c r="F568" s="3" t="s">
        <v>14</v>
      </c>
      <c r="G568" s="3" t="s">
        <v>1070</v>
      </c>
      <c r="H568" s="9" t="s">
        <v>13</v>
      </c>
      <c r="I568" s="3"/>
      <c r="J568" s="3"/>
      <c r="K568" s="72">
        <v>60</v>
      </c>
      <c r="L568" s="62"/>
      <c r="M568" s="47">
        <f t="shared" si="13"/>
        <v>0</v>
      </c>
      <c r="N568" s="45" t="s">
        <v>304</v>
      </c>
    </row>
    <row r="569" spans="2:14" x14ac:dyDescent="0.3">
      <c r="B569" s="42" t="s">
        <v>2038</v>
      </c>
      <c r="C569" s="5" t="s">
        <v>1108</v>
      </c>
      <c r="D569" s="5">
        <v>13</v>
      </c>
      <c r="E569" s="41" t="s">
        <v>1780</v>
      </c>
      <c r="F569" s="3" t="s">
        <v>14</v>
      </c>
      <c r="G569" s="3" t="s">
        <v>1411</v>
      </c>
      <c r="H569" s="9" t="s">
        <v>13</v>
      </c>
      <c r="I569" s="3"/>
      <c r="J569" s="3"/>
      <c r="K569" s="72">
        <v>9</v>
      </c>
      <c r="L569" s="62"/>
      <c r="M569" s="47">
        <f t="shared" si="13"/>
        <v>0</v>
      </c>
      <c r="N569" s="45"/>
    </row>
    <row r="570" spans="2:14" x14ac:dyDescent="0.3">
      <c r="B570" s="42" t="s">
        <v>2039</v>
      </c>
      <c r="C570" s="5" t="s">
        <v>1108</v>
      </c>
      <c r="D570" s="5">
        <v>13</v>
      </c>
      <c r="E570" s="41" t="s">
        <v>1774</v>
      </c>
      <c r="F570" s="3" t="s">
        <v>14</v>
      </c>
      <c r="G570" s="3" t="s">
        <v>1417</v>
      </c>
      <c r="H570" s="9" t="s">
        <v>13</v>
      </c>
      <c r="I570" s="3"/>
      <c r="J570" s="3"/>
      <c r="K570" s="72">
        <v>3</v>
      </c>
      <c r="L570" s="62"/>
      <c r="M570" s="47">
        <f t="shared" si="13"/>
        <v>0</v>
      </c>
      <c r="N570" s="45" t="s">
        <v>1445</v>
      </c>
    </row>
    <row r="571" spans="2:14" x14ac:dyDescent="0.3">
      <c r="B571" s="42" t="s">
        <v>2040</v>
      </c>
      <c r="C571" s="5" t="s">
        <v>1108</v>
      </c>
      <c r="D571" s="5">
        <v>13</v>
      </c>
      <c r="E571" s="41" t="s">
        <v>1779</v>
      </c>
      <c r="F571" s="3" t="s">
        <v>14</v>
      </c>
      <c r="G571" s="3" t="s">
        <v>1411</v>
      </c>
      <c r="H571" s="9" t="s">
        <v>13</v>
      </c>
      <c r="I571" s="3"/>
      <c r="J571" s="3"/>
      <c r="K571" s="72">
        <v>9</v>
      </c>
      <c r="L571" s="62"/>
      <c r="M571" s="47">
        <f t="shared" si="13"/>
        <v>0</v>
      </c>
      <c r="N571" s="45"/>
    </row>
    <row r="572" spans="2:14" x14ac:dyDescent="0.3">
      <c r="B572" s="42" t="s">
        <v>2041</v>
      </c>
      <c r="C572" s="5" t="s">
        <v>1108</v>
      </c>
      <c r="D572" s="5">
        <v>13</v>
      </c>
      <c r="E572" s="41" t="s">
        <v>1775</v>
      </c>
      <c r="F572" s="3" t="s">
        <v>14</v>
      </c>
      <c r="G572" s="3" t="s">
        <v>1417</v>
      </c>
      <c r="H572" s="9" t="s">
        <v>13</v>
      </c>
      <c r="I572" s="3"/>
      <c r="J572" s="3"/>
      <c r="K572" s="72">
        <v>3</v>
      </c>
      <c r="L572" s="62"/>
      <c r="M572" s="47">
        <f t="shared" si="13"/>
        <v>0</v>
      </c>
      <c r="N572" s="45" t="s">
        <v>1446</v>
      </c>
    </row>
    <row r="573" spans="2:14" x14ac:dyDescent="0.3">
      <c r="B573" s="42" t="s">
        <v>2042</v>
      </c>
      <c r="C573" s="5" t="s">
        <v>1108</v>
      </c>
      <c r="D573" s="5">
        <v>13</v>
      </c>
      <c r="E573" s="41" t="s">
        <v>1777</v>
      </c>
      <c r="F573" s="3" t="s">
        <v>14</v>
      </c>
      <c r="G573" s="3" t="s">
        <v>1412</v>
      </c>
      <c r="H573" s="9" t="s">
        <v>13</v>
      </c>
      <c r="I573" s="3"/>
      <c r="J573" s="3"/>
      <c r="K573" s="72">
        <v>128</v>
      </c>
      <c r="L573" s="62"/>
      <c r="M573" s="47">
        <f t="shared" si="13"/>
        <v>0</v>
      </c>
      <c r="N573" s="45" t="s">
        <v>1439</v>
      </c>
    </row>
    <row r="574" spans="2:14" x14ac:dyDescent="0.3">
      <c r="B574" s="42" t="s">
        <v>2043</v>
      </c>
      <c r="C574" s="5" t="s">
        <v>1108</v>
      </c>
      <c r="D574" s="5">
        <v>13</v>
      </c>
      <c r="E574" s="41" t="s">
        <v>1778</v>
      </c>
      <c r="F574" s="3" t="s">
        <v>14</v>
      </c>
      <c r="G574" s="3" t="s">
        <v>1411</v>
      </c>
      <c r="H574" s="9" t="s">
        <v>13</v>
      </c>
      <c r="I574" s="3"/>
      <c r="J574" s="3"/>
      <c r="K574" s="72">
        <v>9</v>
      </c>
      <c r="L574" s="62"/>
      <c r="M574" s="47">
        <f t="shared" si="13"/>
        <v>0</v>
      </c>
      <c r="N574" s="45"/>
    </row>
    <row r="575" spans="2:14" x14ac:dyDescent="0.3">
      <c r="B575" s="42" t="s">
        <v>2044</v>
      </c>
      <c r="C575" s="5" t="s">
        <v>1108</v>
      </c>
      <c r="D575" s="5">
        <v>13</v>
      </c>
      <c r="E575" s="41" t="s">
        <v>1776</v>
      </c>
      <c r="F575" s="3" t="s">
        <v>14</v>
      </c>
      <c r="G575" s="3" t="s">
        <v>1417</v>
      </c>
      <c r="H575" s="9" t="s">
        <v>13</v>
      </c>
      <c r="I575" s="3"/>
      <c r="J575" s="3"/>
      <c r="K575" s="72">
        <v>3</v>
      </c>
      <c r="L575" s="62"/>
      <c r="M575" s="47">
        <f t="shared" si="13"/>
        <v>0</v>
      </c>
      <c r="N575" s="45" t="s">
        <v>1447</v>
      </c>
    </row>
    <row r="576" spans="2:14" x14ac:dyDescent="0.3">
      <c r="B576" s="42" t="s">
        <v>2045</v>
      </c>
      <c r="C576" s="5" t="s">
        <v>1108</v>
      </c>
      <c r="D576" s="5">
        <v>13</v>
      </c>
      <c r="E576" s="41" t="s">
        <v>1781</v>
      </c>
      <c r="F576" s="3" t="s">
        <v>14</v>
      </c>
      <c r="G576" s="3" t="s">
        <v>1411</v>
      </c>
      <c r="H576" s="9" t="s">
        <v>13</v>
      </c>
      <c r="I576" s="3"/>
      <c r="J576" s="3"/>
      <c r="K576" s="72">
        <v>17</v>
      </c>
      <c r="L576" s="62"/>
      <c r="M576" s="47">
        <f t="shared" si="13"/>
        <v>0</v>
      </c>
      <c r="N576" s="45"/>
    </row>
    <row r="577" spans="2:14" x14ac:dyDescent="0.3">
      <c r="B577" s="42" t="s">
        <v>2046</v>
      </c>
      <c r="C577" s="5" t="s">
        <v>1108</v>
      </c>
      <c r="D577" s="5">
        <v>13</v>
      </c>
      <c r="E577" s="41" t="s">
        <v>1771</v>
      </c>
      <c r="F577" s="3" t="s">
        <v>14</v>
      </c>
      <c r="G577" s="3" t="s">
        <v>1591</v>
      </c>
      <c r="H577" s="9" t="s">
        <v>13</v>
      </c>
      <c r="I577" s="3"/>
      <c r="J577" s="3"/>
      <c r="K577" s="72">
        <v>7</v>
      </c>
      <c r="L577" s="62"/>
      <c r="M577" s="47">
        <f t="shared" si="13"/>
        <v>0</v>
      </c>
      <c r="N577" s="45" t="s">
        <v>1443</v>
      </c>
    </row>
    <row r="578" spans="2:14" x14ac:dyDescent="0.3">
      <c r="B578" s="42" t="s">
        <v>2047</v>
      </c>
      <c r="C578" s="5" t="s">
        <v>1108</v>
      </c>
      <c r="D578" s="5">
        <v>13</v>
      </c>
      <c r="E578" s="41" t="s">
        <v>1770</v>
      </c>
      <c r="F578" s="3" t="s">
        <v>14</v>
      </c>
      <c r="G578" s="3" t="s">
        <v>1415</v>
      </c>
      <c r="H578" s="9" t="s">
        <v>13</v>
      </c>
      <c r="I578" s="3"/>
      <c r="J578" s="3"/>
      <c r="K578" s="72">
        <v>86</v>
      </c>
      <c r="L578" s="62"/>
      <c r="M578" s="47">
        <f t="shared" si="13"/>
        <v>0</v>
      </c>
      <c r="N578" s="45" t="s">
        <v>1442</v>
      </c>
    </row>
    <row r="579" spans="2:14" x14ac:dyDescent="0.3">
      <c r="B579" s="42" t="s">
        <v>2048</v>
      </c>
      <c r="C579" s="5" t="s">
        <v>1108</v>
      </c>
      <c r="D579" s="5">
        <v>13</v>
      </c>
      <c r="E579" s="41" t="s">
        <v>1772</v>
      </c>
      <c r="F579" s="3" t="s">
        <v>14</v>
      </c>
      <c r="G579" s="3" t="s">
        <v>1416</v>
      </c>
      <c r="H579" s="9" t="s">
        <v>13</v>
      </c>
      <c r="I579" s="3"/>
      <c r="J579" s="3"/>
      <c r="K579" s="72">
        <v>34</v>
      </c>
      <c r="L579" s="62"/>
      <c r="M579" s="47">
        <f t="shared" si="13"/>
        <v>0</v>
      </c>
      <c r="N579" s="45" t="s">
        <v>1444</v>
      </c>
    </row>
    <row r="580" spans="2:14" x14ac:dyDescent="0.3">
      <c r="B580" s="42" t="s">
        <v>2049</v>
      </c>
      <c r="C580" s="5" t="s">
        <v>1108</v>
      </c>
      <c r="D580" s="5">
        <v>13</v>
      </c>
      <c r="E580" s="41" t="s">
        <v>1769</v>
      </c>
      <c r="F580" s="3" t="s">
        <v>14</v>
      </c>
      <c r="G580" s="3" t="s">
        <v>1414</v>
      </c>
      <c r="H580" s="9" t="s">
        <v>13</v>
      </c>
      <c r="I580" s="3"/>
      <c r="J580" s="3"/>
      <c r="K580" s="72">
        <v>216</v>
      </c>
      <c r="L580" s="62"/>
      <c r="M580" s="47">
        <f t="shared" si="13"/>
        <v>0</v>
      </c>
      <c r="N580" s="45" t="s">
        <v>1441</v>
      </c>
    </row>
    <row r="581" spans="2:14" x14ac:dyDescent="0.3">
      <c r="B581" s="42" t="s">
        <v>2050</v>
      </c>
      <c r="C581" s="5" t="s">
        <v>1108</v>
      </c>
      <c r="D581" s="5">
        <v>13</v>
      </c>
      <c r="E581" s="41" t="s">
        <v>1773</v>
      </c>
      <c r="F581" s="3" t="s">
        <v>14</v>
      </c>
      <c r="G581" s="3" t="s">
        <v>1416</v>
      </c>
      <c r="H581" s="9" t="s">
        <v>13</v>
      </c>
      <c r="I581" s="3"/>
      <c r="J581" s="3"/>
      <c r="K581" s="72">
        <v>17</v>
      </c>
      <c r="L581" s="62"/>
      <c r="M581" s="47">
        <f t="shared" si="13"/>
        <v>0</v>
      </c>
      <c r="N581" s="45" t="s">
        <v>1440</v>
      </c>
    </row>
    <row r="582" spans="2:14" x14ac:dyDescent="0.3">
      <c r="B582" s="42" t="s">
        <v>2051</v>
      </c>
      <c r="C582" s="5" t="s">
        <v>1108</v>
      </c>
      <c r="D582" s="5">
        <v>13</v>
      </c>
      <c r="E582" s="41" t="s">
        <v>1768</v>
      </c>
      <c r="F582" s="3" t="s">
        <v>14</v>
      </c>
      <c r="G582" s="3" t="s">
        <v>1414</v>
      </c>
      <c r="H582" s="9" t="s">
        <v>13</v>
      </c>
      <c r="I582" s="3"/>
      <c r="J582" s="3"/>
      <c r="K582" s="72">
        <v>26</v>
      </c>
      <c r="L582" s="62"/>
      <c r="M582" s="47">
        <f t="shared" si="13"/>
        <v>0</v>
      </c>
      <c r="N582" s="45" t="s">
        <v>1392</v>
      </c>
    </row>
    <row r="583" spans="2:14" x14ac:dyDescent="0.3">
      <c r="B583" s="67" t="s">
        <v>2078</v>
      </c>
      <c r="C583" s="5" t="s">
        <v>1241</v>
      </c>
      <c r="D583" s="5">
        <v>13</v>
      </c>
      <c r="E583" s="41" t="s">
        <v>1450</v>
      </c>
      <c r="F583" s="3" t="s">
        <v>14</v>
      </c>
      <c r="G583" s="3" t="s">
        <v>1416</v>
      </c>
      <c r="H583" s="9" t="s">
        <v>13</v>
      </c>
      <c r="I583" s="46">
        <v>6000</v>
      </c>
      <c r="J583" s="3" t="s">
        <v>10</v>
      </c>
      <c r="K583" s="72">
        <v>3</v>
      </c>
      <c r="L583" s="62"/>
      <c r="M583" s="47">
        <f t="shared" si="13"/>
        <v>0</v>
      </c>
      <c r="N583" s="45"/>
    </row>
    <row r="584" spans="2:14" x14ac:dyDescent="0.3">
      <c r="B584" s="67" t="s">
        <v>2079</v>
      </c>
      <c r="C584" s="5" t="s">
        <v>1241</v>
      </c>
      <c r="D584" s="5">
        <v>13</v>
      </c>
      <c r="E584" s="41" t="s">
        <v>1451</v>
      </c>
      <c r="F584" s="3" t="s">
        <v>14</v>
      </c>
      <c r="G584" s="3" t="s">
        <v>1452</v>
      </c>
      <c r="H584" s="9" t="s">
        <v>13</v>
      </c>
      <c r="I584" s="46">
        <v>60000</v>
      </c>
      <c r="J584" s="3" t="s">
        <v>10</v>
      </c>
      <c r="K584" s="72">
        <v>3</v>
      </c>
      <c r="L584" s="62"/>
      <c r="M584" s="47">
        <f t="shared" si="13"/>
        <v>0</v>
      </c>
      <c r="N584" s="45"/>
    </row>
    <row r="585" spans="2:14" x14ac:dyDescent="0.3">
      <c r="B585" s="67" t="s">
        <v>2080</v>
      </c>
      <c r="C585" s="5" t="s">
        <v>1241</v>
      </c>
      <c r="D585" s="5">
        <v>13</v>
      </c>
      <c r="E585" s="41" t="s">
        <v>732</v>
      </c>
      <c r="F585" s="3" t="s">
        <v>14</v>
      </c>
      <c r="G585" s="3" t="s">
        <v>1414</v>
      </c>
      <c r="H585" s="9" t="s">
        <v>13</v>
      </c>
      <c r="I585" s="46">
        <v>40000</v>
      </c>
      <c r="J585" s="3" t="s">
        <v>10</v>
      </c>
      <c r="K585" s="72">
        <v>10</v>
      </c>
      <c r="L585" s="62"/>
      <c r="M585" s="47">
        <f t="shared" si="13"/>
        <v>0</v>
      </c>
      <c r="N585" s="45"/>
    </row>
    <row r="586" spans="2:14" x14ac:dyDescent="0.3">
      <c r="B586" s="67" t="s">
        <v>2081</v>
      </c>
      <c r="C586" s="5" t="s">
        <v>1241</v>
      </c>
      <c r="D586" s="5">
        <v>13</v>
      </c>
      <c r="E586" s="41" t="s">
        <v>1461</v>
      </c>
      <c r="F586" s="3" t="s">
        <v>14</v>
      </c>
      <c r="G586" s="3" t="s">
        <v>1462</v>
      </c>
      <c r="H586" s="3" t="s">
        <v>13</v>
      </c>
      <c r="I586" s="36">
        <v>5000</v>
      </c>
      <c r="J586" s="3" t="s">
        <v>10</v>
      </c>
      <c r="K586" s="72">
        <v>30</v>
      </c>
      <c r="L586" s="62"/>
      <c r="M586" s="47">
        <f t="shared" si="13"/>
        <v>0</v>
      </c>
      <c r="N586" s="45"/>
    </row>
    <row r="587" spans="2:14" x14ac:dyDescent="0.3">
      <c r="B587" s="67" t="s">
        <v>2082</v>
      </c>
      <c r="C587" s="5" t="s">
        <v>1241</v>
      </c>
      <c r="D587" s="5">
        <v>13</v>
      </c>
      <c r="E587" s="41" t="s">
        <v>1471</v>
      </c>
      <c r="F587" s="3" t="s">
        <v>14</v>
      </c>
      <c r="G587" s="3" t="s">
        <v>26</v>
      </c>
      <c r="H587" s="3" t="s">
        <v>13</v>
      </c>
      <c r="I587" s="36">
        <v>15000</v>
      </c>
      <c r="J587" s="3" t="s">
        <v>10</v>
      </c>
      <c r="K587" s="72">
        <v>3</v>
      </c>
      <c r="L587" s="62"/>
      <c r="M587" s="47">
        <f t="shared" si="13"/>
        <v>0</v>
      </c>
      <c r="N587" s="45"/>
    </row>
    <row r="588" spans="2:14" x14ac:dyDescent="0.3">
      <c r="B588" s="67" t="s">
        <v>2083</v>
      </c>
      <c r="C588" s="5" t="s">
        <v>1241</v>
      </c>
      <c r="D588" s="5">
        <v>13</v>
      </c>
      <c r="E588" s="41" t="s">
        <v>1469</v>
      </c>
      <c r="F588" s="3" t="s">
        <v>14</v>
      </c>
      <c r="G588" s="3" t="s">
        <v>1470</v>
      </c>
      <c r="H588" s="3" t="s">
        <v>13</v>
      </c>
      <c r="I588" s="36">
        <v>15000</v>
      </c>
      <c r="J588" s="3" t="s">
        <v>10</v>
      </c>
      <c r="K588" s="72">
        <v>20</v>
      </c>
      <c r="L588" s="62"/>
      <c r="M588" s="47">
        <f t="shared" si="13"/>
        <v>0</v>
      </c>
      <c r="N588" s="45"/>
    </row>
    <row r="589" spans="2:14" x14ac:dyDescent="0.3">
      <c r="B589" s="42" t="s">
        <v>2137</v>
      </c>
      <c r="C589" s="54" t="s">
        <v>1312</v>
      </c>
      <c r="D589" s="54">
        <v>13</v>
      </c>
      <c r="E589" s="50" t="s">
        <v>1722</v>
      </c>
      <c r="F589" s="54" t="s">
        <v>14</v>
      </c>
      <c r="G589" s="54" t="s">
        <v>1525</v>
      </c>
      <c r="H589" s="54" t="s">
        <v>13</v>
      </c>
      <c r="I589" s="54" t="s">
        <v>686</v>
      </c>
      <c r="J589" s="54" t="s">
        <v>686</v>
      </c>
      <c r="K589" s="73">
        <v>1</v>
      </c>
      <c r="L589" s="65"/>
      <c r="M589" s="47">
        <f t="shared" si="13"/>
        <v>0</v>
      </c>
      <c r="N589" s="45"/>
    </row>
    <row r="590" spans="2:14" x14ac:dyDescent="0.3">
      <c r="B590" s="42" t="s">
        <v>2138</v>
      </c>
      <c r="C590" s="54" t="s">
        <v>1312</v>
      </c>
      <c r="D590" s="54">
        <v>13</v>
      </c>
      <c r="E590" s="50" t="s">
        <v>1723</v>
      </c>
      <c r="F590" s="54" t="s">
        <v>14</v>
      </c>
      <c r="G590" s="54" t="s">
        <v>1526</v>
      </c>
      <c r="H590" s="54" t="s">
        <v>13</v>
      </c>
      <c r="I590" s="60">
        <v>60000</v>
      </c>
      <c r="J590" s="54" t="s">
        <v>686</v>
      </c>
      <c r="K590" s="73">
        <v>1</v>
      </c>
      <c r="L590" s="65"/>
      <c r="M590" s="47">
        <f t="shared" si="13"/>
        <v>0</v>
      </c>
      <c r="N590" s="45"/>
    </row>
    <row r="591" spans="2:14" x14ac:dyDescent="0.3">
      <c r="B591" s="42" t="s">
        <v>2139</v>
      </c>
      <c r="C591" s="54" t="s">
        <v>1312</v>
      </c>
      <c r="D591" s="54">
        <v>13</v>
      </c>
      <c r="E591" s="50" t="s">
        <v>1724</v>
      </c>
      <c r="F591" s="54" t="s">
        <v>14</v>
      </c>
      <c r="G591" s="54" t="s">
        <v>1527</v>
      </c>
      <c r="H591" s="54" t="s">
        <v>13</v>
      </c>
      <c r="I591" s="54" t="s">
        <v>686</v>
      </c>
      <c r="J591" s="54" t="s">
        <v>686</v>
      </c>
      <c r="K591" s="73">
        <v>1</v>
      </c>
      <c r="L591" s="65"/>
      <c r="M591" s="47">
        <f t="shared" si="13"/>
        <v>0</v>
      </c>
      <c r="N591" s="45"/>
    </row>
    <row r="592" spans="2:14" x14ac:dyDescent="0.3">
      <c r="B592" s="42" t="s">
        <v>2140</v>
      </c>
      <c r="C592" s="54" t="s">
        <v>1312</v>
      </c>
      <c r="D592" s="54">
        <v>13</v>
      </c>
      <c r="E592" s="50" t="s">
        <v>1729</v>
      </c>
      <c r="F592" s="54" t="s">
        <v>14</v>
      </c>
      <c r="G592" s="54" t="s">
        <v>1531</v>
      </c>
      <c r="H592" s="54" t="s">
        <v>13</v>
      </c>
      <c r="I592" s="60">
        <v>30000</v>
      </c>
      <c r="J592" s="54" t="s">
        <v>686</v>
      </c>
      <c r="K592" s="73">
        <v>12</v>
      </c>
      <c r="L592" s="65"/>
      <c r="M592" s="47">
        <f t="shared" si="13"/>
        <v>0</v>
      </c>
      <c r="N592" s="45"/>
    </row>
    <row r="593" spans="2:14" x14ac:dyDescent="0.3">
      <c r="B593" s="42" t="s">
        <v>2141</v>
      </c>
      <c r="C593" s="54" t="s">
        <v>1312</v>
      </c>
      <c r="D593" s="54">
        <v>13</v>
      </c>
      <c r="E593" s="50" t="s">
        <v>1622</v>
      </c>
      <c r="F593" s="54" t="s">
        <v>14</v>
      </c>
      <c r="G593" s="54" t="s">
        <v>61</v>
      </c>
      <c r="H593" s="54" t="s">
        <v>13</v>
      </c>
      <c r="I593" s="54" t="s">
        <v>686</v>
      </c>
      <c r="J593" s="54" t="s">
        <v>686</v>
      </c>
      <c r="K593" s="73">
        <v>1</v>
      </c>
      <c r="L593" s="65"/>
      <c r="M593" s="47">
        <f t="shared" si="13"/>
        <v>0</v>
      </c>
      <c r="N593" s="45"/>
    </row>
    <row r="594" spans="2:14" x14ac:dyDescent="0.3">
      <c r="B594" s="42" t="s">
        <v>2142</v>
      </c>
      <c r="C594" s="54" t="s">
        <v>1312</v>
      </c>
      <c r="D594" s="54">
        <v>13</v>
      </c>
      <c r="E594" s="50" t="s">
        <v>1617</v>
      </c>
      <c r="F594" s="54" t="s">
        <v>14</v>
      </c>
      <c r="G594" s="54" t="s">
        <v>1599</v>
      </c>
      <c r="H594" s="54" t="s">
        <v>13</v>
      </c>
      <c r="I594" s="36">
        <v>60000</v>
      </c>
      <c r="J594" s="3" t="s">
        <v>686</v>
      </c>
      <c r="K594" s="73">
        <v>69</v>
      </c>
      <c r="L594" s="65"/>
      <c r="M594" s="47">
        <f t="shared" si="13"/>
        <v>0</v>
      </c>
      <c r="N594" s="45"/>
    </row>
    <row r="595" spans="2:14" x14ac:dyDescent="0.3">
      <c r="B595" s="42" t="s">
        <v>2143</v>
      </c>
      <c r="C595" s="54" t="s">
        <v>1312</v>
      </c>
      <c r="D595" s="54">
        <v>13</v>
      </c>
      <c r="E595" s="50" t="s">
        <v>1548</v>
      </c>
      <c r="F595" s="54" t="s">
        <v>14</v>
      </c>
      <c r="G595" s="54" t="s">
        <v>1515</v>
      </c>
      <c r="H595" s="54" t="s">
        <v>13</v>
      </c>
      <c r="I595" s="60">
        <v>5500</v>
      </c>
      <c r="J595" s="54" t="s">
        <v>10</v>
      </c>
      <c r="K595" s="73">
        <v>24</v>
      </c>
      <c r="L595" s="65"/>
      <c r="M595" s="47">
        <f t="shared" si="13"/>
        <v>0</v>
      </c>
      <c r="N595" s="45"/>
    </row>
    <row r="596" spans="2:14" x14ac:dyDescent="0.3">
      <c r="B596" s="42" t="s">
        <v>2144</v>
      </c>
      <c r="C596" s="54" t="s">
        <v>1312</v>
      </c>
      <c r="D596" s="54">
        <v>13</v>
      </c>
      <c r="E596" s="50" t="s">
        <v>1550</v>
      </c>
      <c r="F596" s="54" t="s">
        <v>14</v>
      </c>
      <c r="G596" s="54" t="s">
        <v>1523</v>
      </c>
      <c r="H596" s="54" t="s">
        <v>13</v>
      </c>
      <c r="I596" s="60">
        <v>12500</v>
      </c>
      <c r="J596" s="54" t="s">
        <v>10</v>
      </c>
      <c r="K596" s="73">
        <v>20</v>
      </c>
      <c r="L596" s="65"/>
      <c r="M596" s="47">
        <f t="shared" si="13"/>
        <v>0</v>
      </c>
      <c r="N596" s="45"/>
    </row>
    <row r="597" spans="2:14" x14ac:dyDescent="0.3">
      <c r="B597" s="42" t="s">
        <v>2145</v>
      </c>
      <c r="C597" s="54" t="s">
        <v>1312</v>
      </c>
      <c r="D597" s="54">
        <v>13</v>
      </c>
      <c r="E597" s="50" t="s">
        <v>1669</v>
      </c>
      <c r="F597" s="54" t="s">
        <v>14</v>
      </c>
      <c r="G597" s="54" t="s">
        <v>1524</v>
      </c>
      <c r="H597" s="54" t="s">
        <v>13</v>
      </c>
      <c r="I597" s="60">
        <v>9500</v>
      </c>
      <c r="J597" s="54" t="s">
        <v>10</v>
      </c>
      <c r="K597" s="73">
        <v>9</v>
      </c>
      <c r="L597" s="65"/>
      <c r="M597" s="47">
        <f t="shared" si="13"/>
        <v>0</v>
      </c>
      <c r="N597" s="45"/>
    </row>
    <row r="598" spans="2:14" x14ac:dyDescent="0.3">
      <c r="B598" s="42" t="s">
        <v>2146</v>
      </c>
      <c r="C598" s="54" t="s">
        <v>1312</v>
      </c>
      <c r="D598" s="54">
        <v>13</v>
      </c>
      <c r="E598" s="50" t="s">
        <v>1652</v>
      </c>
      <c r="F598" s="54" t="s">
        <v>14</v>
      </c>
      <c r="G598" s="54" t="s">
        <v>1525</v>
      </c>
      <c r="H598" s="54" t="s">
        <v>13</v>
      </c>
      <c r="I598" s="60">
        <v>9500</v>
      </c>
      <c r="J598" s="54" t="s">
        <v>10</v>
      </c>
      <c r="K598" s="73">
        <v>80</v>
      </c>
      <c r="L598" s="65"/>
      <c r="M598" s="47">
        <f t="shared" si="13"/>
        <v>0</v>
      </c>
      <c r="N598" s="45"/>
    </row>
    <row r="599" spans="2:14" x14ac:dyDescent="0.3">
      <c r="B599" s="42" t="s">
        <v>2147</v>
      </c>
      <c r="C599" s="54" t="s">
        <v>1312</v>
      </c>
      <c r="D599" s="54">
        <v>13</v>
      </c>
      <c r="E599" s="50" t="s">
        <v>1670</v>
      </c>
      <c r="F599" s="54" t="s">
        <v>14</v>
      </c>
      <c r="G599" s="54" t="s">
        <v>1526</v>
      </c>
      <c r="H599" s="54" t="s">
        <v>13</v>
      </c>
      <c r="I599" s="60">
        <v>12500</v>
      </c>
      <c r="J599" s="54" t="s">
        <v>10</v>
      </c>
      <c r="K599" s="73">
        <v>131</v>
      </c>
      <c r="L599" s="65"/>
      <c r="M599" s="47">
        <f t="shared" si="13"/>
        <v>0</v>
      </c>
      <c r="N599" s="45"/>
    </row>
    <row r="600" spans="2:14" x14ac:dyDescent="0.3">
      <c r="B600" s="42" t="s">
        <v>2148</v>
      </c>
      <c r="C600" s="54" t="s">
        <v>1312</v>
      </c>
      <c r="D600" s="54">
        <v>13</v>
      </c>
      <c r="E600" s="50" t="s">
        <v>1558</v>
      </c>
      <c r="F600" s="54" t="s">
        <v>14</v>
      </c>
      <c r="G600" s="54" t="s">
        <v>1497</v>
      </c>
      <c r="H600" s="54" t="s">
        <v>13</v>
      </c>
      <c r="I600" s="60">
        <v>3000</v>
      </c>
      <c r="J600" s="54" t="s">
        <v>11</v>
      </c>
      <c r="K600" s="73">
        <v>25</v>
      </c>
      <c r="L600" s="65"/>
      <c r="M600" s="47">
        <f t="shared" si="13"/>
        <v>0</v>
      </c>
      <c r="N600" s="45"/>
    </row>
    <row r="601" spans="2:14" x14ac:dyDescent="0.3">
      <c r="B601" s="42" t="s">
        <v>2149</v>
      </c>
      <c r="C601" s="54" t="s">
        <v>1312</v>
      </c>
      <c r="D601" s="54">
        <v>13</v>
      </c>
      <c r="E601" s="50" t="s">
        <v>1616</v>
      </c>
      <c r="F601" s="54" t="s">
        <v>14</v>
      </c>
      <c r="G601" s="54" t="s">
        <v>1522</v>
      </c>
      <c r="H601" s="54" t="s">
        <v>13</v>
      </c>
      <c r="I601" s="60">
        <v>20000</v>
      </c>
      <c r="J601" s="54" t="s">
        <v>10</v>
      </c>
      <c r="K601" s="73">
        <v>233</v>
      </c>
      <c r="L601" s="65"/>
      <c r="M601" s="47">
        <f t="shared" si="13"/>
        <v>0</v>
      </c>
      <c r="N601" s="45"/>
    </row>
    <row r="602" spans="2:14" x14ac:dyDescent="0.3">
      <c r="B602" s="42" t="s">
        <v>2150</v>
      </c>
      <c r="C602" s="54" t="s">
        <v>1312</v>
      </c>
      <c r="D602" s="54">
        <v>13</v>
      </c>
      <c r="E602" s="50" t="s">
        <v>1608</v>
      </c>
      <c r="F602" s="54" t="s">
        <v>14</v>
      </c>
      <c r="G602" s="54" t="s">
        <v>1530</v>
      </c>
      <c r="H602" s="54" t="s">
        <v>13</v>
      </c>
      <c r="I602" s="60">
        <v>60000</v>
      </c>
      <c r="J602" s="54" t="s">
        <v>686</v>
      </c>
      <c r="K602" s="73">
        <v>10</v>
      </c>
      <c r="L602" s="65"/>
      <c r="M602" s="47">
        <f t="shared" si="13"/>
        <v>0</v>
      </c>
      <c r="N602" s="45"/>
    </row>
    <row r="603" spans="2:14" x14ac:dyDescent="0.3">
      <c r="B603" s="42" t="s">
        <v>2151</v>
      </c>
      <c r="C603" s="54" t="s">
        <v>1312</v>
      </c>
      <c r="D603" s="54">
        <v>13</v>
      </c>
      <c r="E603" s="50" t="s">
        <v>1623</v>
      </c>
      <c r="F603" s="54" t="s">
        <v>14</v>
      </c>
      <c r="G603" s="54" t="s">
        <v>61</v>
      </c>
      <c r="H603" s="54" t="s">
        <v>13</v>
      </c>
      <c r="I603" s="54" t="s">
        <v>686</v>
      </c>
      <c r="J603" s="54" t="s">
        <v>686</v>
      </c>
      <c r="K603" s="73">
        <v>2</v>
      </c>
      <c r="L603" s="65"/>
      <c r="M603" s="47">
        <f t="shared" si="13"/>
        <v>0</v>
      </c>
      <c r="N603" s="45"/>
    </row>
    <row r="604" spans="2:14" x14ac:dyDescent="0.3">
      <c r="B604" s="42" t="s">
        <v>615</v>
      </c>
      <c r="C604" s="5" t="s">
        <v>234</v>
      </c>
      <c r="D604" s="5">
        <v>13</v>
      </c>
      <c r="E604" s="41" t="s">
        <v>944</v>
      </c>
      <c r="F604" s="3" t="s">
        <v>14</v>
      </c>
      <c r="G604" s="3" t="s">
        <v>273</v>
      </c>
      <c r="H604" s="9" t="s">
        <v>13</v>
      </c>
      <c r="I604" s="46">
        <v>5000</v>
      </c>
      <c r="J604" s="3" t="s">
        <v>10</v>
      </c>
      <c r="K604" s="72">
        <v>6</v>
      </c>
      <c r="L604" s="62"/>
      <c r="M604" s="47">
        <f t="shared" ref="M604:M646" si="14">+K604*L604</f>
        <v>0</v>
      </c>
      <c r="N604" s="45"/>
    </row>
    <row r="605" spans="2:14" x14ac:dyDescent="0.3">
      <c r="B605" s="42" t="s">
        <v>616</v>
      </c>
      <c r="C605" s="5" t="s">
        <v>234</v>
      </c>
      <c r="D605" s="5">
        <v>13</v>
      </c>
      <c r="E605" s="41" t="s">
        <v>945</v>
      </c>
      <c r="F605" s="3" t="s">
        <v>14</v>
      </c>
      <c r="G605" s="3" t="s">
        <v>267</v>
      </c>
      <c r="H605" s="9" t="s">
        <v>13</v>
      </c>
      <c r="I605" s="46">
        <v>9000</v>
      </c>
      <c r="J605" s="3" t="s">
        <v>10</v>
      </c>
      <c r="K605" s="72">
        <v>1</v>
      </c>
      <c r="L605" s="62"/>
      <c r="M605" s="47">
        <f t="shared" si="14"/>
        <v>0</v>
      </c>
      <c r="N605" s="45"/>
    </row>
    <row r="606" spans="2:14" x14ac:dyDescent="0.3">
      <c r="B606" s="42" t="s">
        <v>614</v>
      </c>
      <c r="C606" s="5" t="s">
        <v>234</v>
      </c>
      <c r="D606" s="5">
        <v>13</v>
      </c>
      <c r="E606" s="41" t="s">
        <v>943</v>
      </c>
      <c r="F606" s="3" t="s">
        <v>14</v>
      </c>
      <c r="G606" s="3" t="s">
        <v>266</v>
      </c>
      <c r="H606" s="9" t="s">
        <v>13</v>
      </c>
      <c r="I606" s="46">
        <v>9000</v>
      </c>
      <c r="J606" s="3" t="s">
        <v>10</v>
      </c>
      <c r="K606" s="72">
        <v>1</v>
      </c>
      <c r="L606" s="62"/>
      <c r="M606" s="47">
        <f t="shared" si="14"/>
        <v>0</v>
      </c>
      <c r="N606" s="45"/>
    </row>
    <row r="607" spans="2:14" x14ac:dyDescent="0.3">
      <c r="B607" s="42" t="s">
        <v>620</v>
      </c>
      <c r="C607" s="5" t="s">
        <v>234</v>
      </c>
      <c r="D607" s="5">
        <v>13</v>
      </c>
      <c r="E607" s="41" t="s">
        <v>949</v>
      </c>
      <c r="F607" s="3" t="s">
        <v>14</v>
      </c>
      <c r="G607" s="3" t="s">
        <v>270</v>
      </c>
      <c r="H607" s="9" t="s">
        <v>13</v>
      </c>
      <c r="I607" s="46">
        <v>4000</v>
      </c>
      <c r="J607" s="3" t="s">
        <v>10</v>
      </c>
      <c r="K607" s="72">
        <v>1</v>
      </c>
      <c r="L607" s="62"/>
      <c r="M607" s="47">
        <f t="shared" si="14"/>
        <v>0</v>
      </c>
      <c r="N607" s="45"/>
    </row>
    <row r="608" spans="2:14" x14ac:dyDescent="0.3">
      <c r="B608" s="42" t="s">
        <v>617</v>
      </c>
      <c r="C608" s="5" t="s">
        <v>234</v>
      </c>
      <c r="D608" s="5">
        <v>13</v>
      </c>
      <c r="E608" s="41" t="s">
        <v>946</v>
      </c>
      <c r="F608" s="3" t="s">
        <v>14</v>
      </c>
      <c r="G608" s="3" t="s">
        <v>272</v>
      </c>
      <c r="H608" s="9" t="s">
        <v>13</v>
      </c>
      <c r="I608" s="46">
        <v>4000</v>
      </c>
      <c r="J608" s="3" t="s">
        <v>10</v>
      </c>
      <c r="K608" s="72">
        <v>1</v>
      </c>
      <c r="L608" s="62"/>
      <c r="M608" s="47">
        <f t="shared" si="14"/>
        <v>0</v>
      </c>
      <c r="N608" s="45"/>
    </row>
    <row r="609" spans="2:14" x14ac:dyDescent="0.3">
      <c r="B609" s="42" t="s">
        <v>619</v>
      </c>
      <c r="C609" s="5" t="s">
        <v>234</v>
      </c>
      <c r="D609" s="5">
        <v>13</v>
      </c>
      <c r="E609" s="41" t="s">
        <v>948</v>
      </c>
      <c r="F609" s="3" t="s">
        <v>14</v>
      </c>
      <c r="G609" s="3" t="s">
        <v>270</v>
      </c>
      <c r="H609" s="9" t="s">
        <v>13</v>
      </c>
      <c r="I609" s="46">
        <v>4000</v>
      </c>
      <c r="J609" s="3" t="s">
        <v>10</v>
      </c>
      <c r="K609" s="72">
        <v>1</v>
      </c>
      <c r="L609" s="62"/>
      <c r="M609" s="47">
        <f t="shared" si="14"/>
        <v>0</v>
      </c>
      <c r="N609" s="45"/>
    </row>
    <row r="610" spans="2:14" x14ac:dyDescent="0.3">
      <c r="B610" s="42" t="s">
        <v>618</v>
      </c>
      <c r="C610" s="5" t="s">
        <v>234</v>
      </c>
      <c r="D610" s="5">
        <v>13</v>
      </c>
      <c r="E610" s="41" t="s">
        <v>947</v>
      </c>
      <c r="F610" s="3" t="s">
        <v>14</v>
      </c>
      <c r="G610" s="3" t="s">
        <v>269</v>
      </c>
      <c r="H610" s="9" t="s">
        <v>13</v>
      </c>
      <c r="I610" s="46">
        <v>4000</v>
      </c>
      <c r="J610" s="3" t="s">
        <v>10</v>
      </c>
      <c r="K610" s="72">
        <v>2</v>
      </c>
      <c r="L610" s="62"/>
      <c r="M610" s="47">
        <f t="shared" si="14"/>
        <v>0</v>
      </c>
      <c r="N610" s="45"/>
    </row>
    <row r="611" spans="2:14" x14ac:dyDescent="0.3">
      <c r="B611" s="42" t="s">
        <v>621</v>
      </c>
      <c r="C611" s="5" t="s">
        <v>234</v>
      </c>
      <c r="D611" s="5">
        <v>13</v>
      </c>
      <c r="E611" s="41" t="s">
        <v>950</v>
      </c>
      <c r="F611" s="3" t="s">
        <v>14</v>
      </c>
      <c r="G611" s="3" t="s">
        <v>268</v>
      </c>
      <c r="H611" s="9" t="s">
        <v>13</v>
      </c>
      <c r="I611" s="46">
        <v>8000</v>
      </c>
      <c r="J611" s="3" t="s">
        <v>10</v>
      </c>
      <c r="K611" s="72">
        <v>36</v>
      </c>
      <c r="L611" s="62"/>
      <c r="M611" s="47">
        <f t="shared" si="14"/>
        <v>0</v>
      </c>
      <c r="N611" s="45"/>
    </row>
    <row r="612" spans="2:14" x14ac:dyDescent="0.3">
      <c r="B612" s="42" t="s">
        <v>622</v>
      </c>
      <c r="C612" s="5" t="s">
        <v>234</v>
      </c>
      <c r="D612" s="5">
        <v>13</v>
      </c>
      <c r="E612" s="41" t="s">
        <v>951</v>
      </c>
      <c r="F612" s="3" t="s">
        <v>14</v>
      </c>
      <c r="G612" s="3" t="s">
        <v>271</v>
      </c>
      <c r="H612" s="9" t="s">
        <v>13</v>
      </c>
      <c r="I612" s="36">
        <v>6000</v>
      </c>
      <c r="J612" s="3" t="s">
        <v>10</v>
      </c>
      <c r="K612" s="72">
        <v>2</v>
      </c>
      <c r="L612" s="62"/>
      <c r="M612" s="47">
        <f t="shared" si="14"/>
        <v>0</v>
      </c>
      <c r="N612" s="45"/>
    </row>
    <row r="613" spans="2:14" x14ac:dyDescent="0.3">
      <c r="B613" s="42" t="s">
        <v>564</v>
      </c>
      <c r="C613" s="5" t="s">
        <v>1223</v>
      </c>
      <c r="D613" s="5">
        <v>13</v>
      </c>
      <c r="E613" s="41" t="s">
        <v>893</v>
      </c>
      <c r="F613" s="3" t="s">
        <v>14</v>
      </c>
      <c r="G613" s="3" t="s">
        <v>725</v>
      </c>
      <c r="H613" s="9" t="s">
        <v>13</v>
      </c>
      <c r="I613" s="3"/>
      <c r="J613" s="3" t="s">
        <v>11</v>
      </c>
      <c r="K613" s="72">
        <v>30</v>
      </c>
      <c r="L613" s="62"/>
      <c r="M613" s="47">
        <f t="shared" si="14"/>
        <v>0</v>
      </c>
      <c r="N613" s="45"/>
    </row>
    <row r="614" spans="2:14" x14ac:dyDescent="0.3">
      <c r="B614" s="42" t="s">
        <v>562</v>
      </c>
      <c r="C614" s="5" t="s">
        <v>1223</v>
      </c>
      <c r="D614" s="5">
        <v>13</v>
      </c>
      <c r="E614" s="41" t="s">
        <v>891</v>
      </c>
      <c r="F614" s="3" t="s">
        <v>14</v>
      </c>
      <c r="G614" s="3" t="s">
        <v>720</v>
      </c>
      <c r="H614" s="9" t="s">
        <v>13</v>
      </c>
      <c r="I614" s="3"/>
      <c r="J614" s="3" t="s">
        <v>11</v>
      </c>
      <c r="K614" s="72">
        <v>30</v>
      </c>
      <c r="L614" s="62"/>
      <c r="M614" s="47">
        <f t="shared" si="14"/>
        <v>0</v>
      </c>
      <c r="N614" s="45"/>
    </row>
    <row r="615" spans="2:14" x14ac:dyDescent="0.3">
      <c r="B615" s="42" t="s">
        <v>572</v>
      </c>
      <c r="C615" s="5" t="s">
        <v>1223</v>
      </c>
      <c r="D615" s="5">
        <v>13</v>
      </c>
      <c r="E615" s="41" t="s">
        <v>901</v>
      </c>
      <c r="F615" s="3" t="s">
        <v>14</v>
      </c>
      <c r="G615" s="3" t="s">
        <v>725</v>
      </c>
      <c r="H615" s="9" t="s">
        <v>13</v>
      </c>
      <c r="I615" s="3"/>
      <c r="J615" s="3" t="s">
        <v>10</v>
      </c>
      <c r="K615" s="72">
        <v>1</v>
      </c>
      <c r="L615" s="62"/>
      <c r="M615" s="47">
        <f t="shared" si="14"/>
        <v>0</v>
      </c>
      <c r="N615" s="45"/>
    </row>
    <row r="616" spans="2:14" x14ac:dyDescent="0.3">
      <c r="B616" s="42" t="s">
        <v>566</v>
      </c>
      <c r="C616" s="5" t="s">
        <v>1223</v>
      </c>
      <c r="D616" s="5">
        <v>13</v>
      </c>
      <c r="E616" s="41" t="s">
        <v>895</v>
      </c>
      <c r="F616" s="3" t="s">
        <v>14</v>
      </c>
      <c r="G616" s="3" t="s">
        <v>725</v>
      </c>
      <c r="H616" s="9" t="s">
        <v>13</v>
      </c>
      <c r="I616" s="3"/>
      <c r="J616" s="3" t="s">
        <v>11</v>
      </c>
      <c r="K616" s="72">
        <v>30</v>
      </c>
      <c r="L616" s="62"/>
      <c r="M616" s="47">
        <f t="shared" si="14"/>
        <v>0</v>
      </c>
      <c r="N616" s="45"/>
    </row>
    <row r="617" spans="2:14" x14ac:dyDescent="0.3">
      <c r="B617" s="42" t="s">
        <v>560</v>
      </c>
      <c r="C617" s="5" t="s">
        <v>1223</v>
      </c>
      <c r="D617" s="5">
        <v>13</v>
      </c>
      <c r="E617" s="41" t="s">
        <v>889</v>
      </c>
      <c r="F617" s="3" t="s">
        <v>14</v>
      </c>
      <c r="G617" s="3" t="s">
        <v>724</v>
      </c>
      <c r="H617" s="9" t="s">
        <v>13</v>
      </c>
      <c r="I617" s="3"/>
      <c r="J617" s="3" t="s">
        <v>11</v>
      </c>
      <c r="K617" s="72">
        <v>140</v>
      </c>
      <c r="L617" s="62"/>
      <c r="M617" s="47">
        <f t="shared" si="14"/>
        <v>0</v>
      </c>
      <c r="N617" s="45"/>
    </row>
    <row r="618" spans="2:14" x14ac:dyDescent="0.3">
      <c r="B618" s="42" t="s">
        <v>559</v>
      </c>
      <c r="C618" s="5" t="s">
        <v>1223</v>
      </c>
      <c r="D618" s="5">
        <v>13</v>
      </c>
      <c r="E618" s="41" t="s">
        <v>888</v>
      </c>
      <c r="F618" s="3" t="s">
        <v>14</v>
      </c>
      <c r="G618" s="3" t="s">
        <v>723</v>
      </c>
      <c r="H618" s="9" t="s">
        <v>13</v>
      </c>
      <c r="I618" s="3"/>
      <c r="J618" s="3" t="s">
        <v>11</v>
      </c>
      <c r="K618" s="72">
        <v>6</v>
      </c>
      <c r="L618" s="62"/>
      <c r="M618" s="47">
        <f t="shared" si="14"/>
        <v>0</v>
      </c>
      <c r="N618" s="45"/>
    </row>
    <row r="619" spans="2:14" x14ac:dyDescent="0.3">
      <c r="B619" s="42" t="s">
        <v>565</v>
      </c>
      <c r="C619" s="5" t="s">
        <v>1223</v>
      </c>
      <c r="D619" s="5">
        <v>13</v>
      </c>
      <c r="E619" s="41" t="s">
        <v>894</v>
      </c>
      <c r="F619" s="3" t="s">
        <v>14</v>
      </c>
      <c r="G619" s="3" t="s">
        <v>725</v>
      </c>
      <c r="H619" s="9" t="s">
        <v>13</v>
      </c>
      <c r="I619" s="3"/>
      <c r="J619" s="3" t="s">
        <v>11</v>
      </c>
      <c r="K619" s="72">
        <v>30</v>
      </c>
      <c r="L619" s="62"/>
      <c r="M619" s="47">
        <f t="shared" si="14"/>
        <v>0</v>
      </c>
      <c r="N619" s="45"/>
    </row>
    <row r="620" spans="2:14" x14ac:dyDescent="0.3">
      <c r="B620" s="42" t="s">
        <v>563</v>
      </c>
      <c r="C620" s="5" t="s">
        <v>1223</v>
      </c>
      <c r="D620" s="5">
        <v>13</v>
      </c>
      <c r="E620" s="41" t="s">
        <v>892</v>
      </c>
      <c r="F620" s="3" t="s">
        <v>14</v>
      </c>
      <c r="G620" s="3" t="s">
        <v>725</v>
      </c>
      <c r="H620" s="9" t="s">
        <v>13</v>
      </c>
      <c r="I620" s="3"/>
      <c r="J620" s="3" t="s">
        <v>11</v>
      </c>
      <c r="K620" s="72">
        <v>25</v>
      </c>
      <c r="L620" s="62"/>
      <c r="M620" s="47">
        <f t="shared" si="14"/>
        <v>0</v>
      </c>
      <c r="N620" s="45"/>
    </row>
    <row r="621" spans="2:14" x14ac:dyDescent="0.3">
      <c r="B621" s="42" t="s">
        <v>561</v>
      </c>
      <c r="C621" s="5" t="s">
        <v>1223</v>
      </c>
      <c r="D621" s="5">
        <v>13</v>
      </c>
      <c r="E621" s="41" t="s">
        <v>890</v>
      </c>
      <c r="F621" s="3" t="s">
        <v>14</v>
      </c>
      <c r="G621" s="3" t="s">
        <v>725</v>
      </c>
      <c r="H621" s="9" t="s">
        <v>13</v>
      </c>
      <c r="I621" s="3"/>
      <c r="J621" s="3" t="s">
        <v>11</v>
      </c>
      <c r="K621" s="72">
        <v>3</v>
      </c>
      <c r="L621" s="62"/>
      <c r="M621" s="47">
        <f t="shared" si="14"/>
        <v>0</v>
      </c>
      <c r="N621" s="45"/>
    </row>
    <row r="622" spans="2:14" x14ac:dyDescent="0.3">
      <c r="B622" s="42" t="s">
        <v>322</v>
      </c>
      <c r="C622" s="5" t="s">
        <v>1223</v>
      </c>
      <c r="D622" s="5">
        <v>13</v>
      </c>
      <c r="E622" s="41" t="s">
        <v>728</v>
      </c>
      <c r="F622" s="3" t="s">
        <v>14</v>
      </c>
      <c r="G622" s="3" t="s">
        <v>16</v>
      </c>
      <c r="H622" s="9" t="s">
        <v>13</v>
      </c>
      <c r="I622" s="42" t="s">
        <v>1339</v>
      </c>
      <c r="J622" s="3" t="s">
        <v>10</v>
      </c>
      <c r="K622" s="72">
        <v>163</v>
      </c>
      <c r="L622" s="62"/>
      <c r="M622" s="47">
        <f t="shared" si="14"/>
        <v>0</v>
      </c>
      <c r="N622" s="45"/>
    </row>
    <row r="623" spans="2:14" x14ac:dyDescent="0.3">
      <c r="B623" s="42" t="s">
        <v>323</v>
      </c>
      <c r="C623" s="5" t="s">
        <v>1223</v>
      </c>
      <c r="D623" s="5">
        <v>13</v>
      </c>
      <c r="E623" s="41" t="s">
        <v>1224</v>
      </c>
      <c r="F623" s="3" t="s">
        <v>14</v>
      </c>
      <c r="G623" s="3" t="s">
        <v>1225</v>
      </c>
      <c r="H623" s="9" t="s">
        <v>13</v>
      </c>
      <c r="I623" s="42" t="s">
        <v>1317</v>
      </c>
      <c r="J623" s="3" t="s">
        <v>10</v>
      </c>
      <c r="K623" s="72">
        <v>30</v>
      </c>
      <c r="L623" s="62"/>
      <c r="M623" s="47">
        <f t="shared" si="14"/>
        <v>0</v>
      </c>
      <c r="N623" s="45"/>
    </row>
    <row r="624" spans="2:14" x14ac:dyDescent="0.3">
      <c r="B624" s="42" t="s">
        <v>555</v>
      </c>
      <c r="C624" s="5" t="s">
        <v>1223</v>
      </c>
      <c r="D624" s="5">
        <v>13</v>
      </c>
      <c r="E624" s="41" t="s">
        <v>884</v>
      </c>
      <c r="F624" s="3" t="s">
        <v>14</v>
      </c>
      <c r="G624" s="3" t="s">
        <v>720</v>
      </c>
      <c r="H624" s="9" t="s">
        <v>13</v>
      </c>
      <c r="I624" s="3"/>
      <c r="J624" s="3" t="s">
        <v>11</v>
      </c>
      <c r="K624" s="72">
        <v>10</v>
      </c>
      <c r="L624" s="62"/>
      <c r="M624" s="47">
        <f t="shared" si="14"/>
        <v>0</v>
      </c>
      <c r="N624" s="45"/>
    </row>
    <row r="625" spans="2:14" x14ac:dyDescent="0.3">
      <c r="B625" s="42" t="s">
        <v>1058</v>
      </c>
      <c r="C625" s="5" t="s">
        <v>1223</v>
      </c>
      <c r="D625" s="5">
        <v>13</v>
      </c>
      <c r="E625" s="41" t="s">
        <v>1069</v>
      </c>
      <c r="F625" s="3" t="s">
        <v>14</v>
      </c>
      <c r="G625" s="3" t="s">
        <v>1070</v>
      </c>
      <c r="H625" s="9" t="s">
        <v>13</v>
      </c>
      <c r="I625" s="3"/>
      <c r="J625" s="3" t="s">
        <v>11</v>
      </c>
      <c r="K625" s="72">
        <v>3</v>
      </c>
      <c r="L625" s="62"/>
      <c r="M625" s="47">
        <f t="shared" si="14"/>
        <v>0</v>
      </c>
      <c r="N625" s="45"/>
    </row>
    <row r="626" spans="2:14" x14ac:dyDescent="0.3">
      <c r="B626" s="42" t="s">
        <v>1145</v>
      </c>
      <c r="C626" s="5" t="s">
        <v>1146</v>
      </c>
      <c r="D626" s="5">
        <v>13</v>
      </c>
      <c r="E626" s="41" t="s">
        <v>1198</v>
      </c>
      <c r="F626" s="3" t="s">
        <v>14</v>
      </c>
      <c r="G626" s="3" t="s">
        <v>1199</v>
      </c>
      <c r="H626" s="9" t="s">
        <v>13</v>
      </c>
      <c r="I626" s="9"/>
      <c r="J626" s="3"/>
      <c r="K626" s="72">
        <v>2</v>
      </c>
      <c r="L626" s="62"/>
      <c r="M626" s="47">
        <f t="shared" si="14"/>
        <v>0</v>
      </c>
      <c r="N626" s="45"/>
    </row>
    <row r="627" spans="2:14" x14ac:dyDescent="0.3">
      <c r="B627" s="42" t="s">
        <v>670</v>
      </c>
      <c r="C627" s="5" t="s">
        <v>285</v>
      </c>
      <c r="D627" s="5">
        <v>13</v>
      </c>
      <c r="E627" s="41" t="s">
        <v>999</v>
      </c>
      <c r="F627" s="3" t="s">
        <v>14</v>
      </c>
      <c r="G627" s="3" t="s">
        <v>304</v>
      </c>
      <c r="H627" s="9" t="s">
        <v>13</v>
      </c>
      <c r="I627" s="9" t="s">
        <v>1342</v>
      </c>
      <c r="J627" s="3" t="s">
        <v>10</v>
      </c>
      <c r="K627" s="72">
        <v>60</v>
      </c>
      <c r="L627" s="62"/>
      <c r="M627" s="47">
        <f t="shared" si="14"/>
        <v>0</v>
      </c>
      <c r="N627" s="45"/>
    </row>
    <row r="628" spans="2:14" x14ac:dyDescent="0.3">
      <c r="B628" s="42" t="s">
        <v>664</v>
      </c>
      <c r="C628" s="5" t="s">
        <v>285</v>
      </c>
      <c r="D628" s="5">
        <v>13</v>
      </c>
      <c r="E628" s="41" t="s">
        <v>993</v>
      </c>
      <c r="F628" s="3" t="s">
        <v>14</v>
      </c>
      <c r="G628" s="3" t="s">
        <v>302</v>
      </c>
      <c r="H628" s="9" t="s">
        <v>13</v>
      </c>
      <c r="I628" s="9" t="s">
        <v>1342</v>
      </c>
      <c r="J628" s="3" t="s">
        <v>10</v>
      </c>
      <c r="K628" s="72">
        <v>35</v>
      </c>
      <c r="L628" s="62"/>
      <c r="M628" s="47">
        <f t="shared" si="14"/>
        <v>0</v>
      </c>
      <c r="N628" s="45"/>
    </row>
    <row r="629" spans="2:14" x14ac:dyDescent="0.3">
      <c r="B629" s="42" t="s">
        <v>675</v>
      </c>
      <c r="C629" s="5" t="s">
        <v>285</v>
      </c>
      <c r="D629" s="5">
        <v>13</v>
      </c>
      <c r="E629" s="41" t="s">
        <v>1004</v>
      </c>
      <c r="F629" s="3" t="s">
        <v>14</v>
      </c>
      <c r="G629" s="3" t="s">
        <v>303</v>
      </c>
      <c r="H629" s="9" t="s">
        <v>13</v>
      </c>
      <c r="I629" s="9" t="s">
        <v>1317</v>
      </c>
      <c r="J629" s="3" t="s">
        <v>10</v>
      </c>
      <c r="K629" s="72">
        <v>100</v>
      </c>
      <c r="L629" s="62"/>
      <c r="M629" s="47">
        <f t="shared" si="14"/>
        <v>0</v>
      </c>
      <c r="N629" s="45"/>
    </row>
    <row r="630" spans="2:14" x14ac:dyDescent="0.3">
      <c r="B630" s="42" t="s">
        <v>1268</v>
      </c>
      <c r="C630" s="5" t="s">
        <v>1245</v>
      </c>
      <c r="D630" s="5">
        <v>13</v>
      </c>
      <c r="E630" s="41" t="s">
        <v>1004</v>
      </c>
      <c r="F630" s="3" t="s">
        <v>14</v>
      </c>
      <c r="G630" s="3" t="s">
        <v>303</v>
      </c>
      <c r="H630" s="9" t="s">
        <v>13</v>
      </c>
      <c r="I630" s="9" t="s">
        <v>1317</v>
      </c>
      <c r="J630" s="3" t="s">
        <v>10</v>
      </c>
      <c r="K630" s="72">
        <v>300</v>
      </c>
      <c r="L630" s="62"/>
      <c r="M630" s="47">
        <f t="shared" si="14"/>
        <v>0</v>
      </c>
      <c r="N630" s="45">
        <v>522204805</v>
      </c>
    </row>
    <row r="631" spans="2:14" x14ac:dyDescent="0.3">
      <c r="B631" s="67" t="s">
        <v>1293</v>
      </c>
      <c r="C631" s="54" t="s">
        <v>1312</v>
      </c>
      <c r="D631" s="54">
        <v>13</v>
      </c>
      <c r="E631" s="52" t="s">
        <v>1308</v>
      </c>
      <c r="F631" s="54" t="s">
        <v>14</v>
      </c>
      <c r="G631" s="54" t="s">
        <v>1209</v>
      </c>
      <c r="H631" s="54" t="s">
        <v>13</v>
      </c>
      <c r="I631" s="60">
        <v>25000</v>
      </c>
      <c r="J631" s="54" t="s">
        <v>686</v>
      </c>
      <c r="K631" s="73">
        <v>22</v>
      </c>
      <c r="L631" s="65"/>
      <c r="M631" s="47">
        <f t="shared" si="14"/>
        <v>0</v>
      </c>
      <c r="N631" s="45"/>
    </row>
    <row r="632" spans="2:14" x14ac:dyDescent="0.3">
      <c r="B632" s="67" t="s">
        <v>360</v>
      </c>
      <c r="C632" s="54" t="s">
        <v>1312</v>
      </c>
      <c r="D632" s="54">
        <v>13</v>
      </c>
      <c r="E632" s="52" t="s">
        <v>758</v>
      </c>
      <c r="F632" s="54" t="s">
        <v>14</v>
      </c>
      <c r="G632" s="54" t="s">
        <v>60</v>
      </c>
      <c r="H632" s="54" t="s">
        <v>13</v>
      </c>
      <c r="I632" s="60">
        <v>20000</v>
      </c>
      <c r="J632" s="54" t="s">
        <v>686</v>
      </c>
      <c r="K632" s="73">
        <v>4</v>
      </c>
      <c r="L632" s="65"/>
      <c r="M632" s="47">
        <f t="shared" si="14"/>
        <v>0</v>
      </c>
      <c r="N632" s="45"/>
    </row>
    <row r="633" spans="2:14" x14ac:dyDescent="0.3">
      <c r="B633" s="67" t="s">
        <v>1291</v>
      </c>
      <c r="C633" s="54" t="s">
        <v>1312</v>
      </c>
      <c r="D633" s="54">
        <v>13</v>
      </c>
      <c r="E633" s="52" t="s">
        <v>1306</v>
      </c>
      <c r="F633" s="54" t="s">
        <v>14</v>
      </c>
      <c r="G633" s="54" t="s">
        <v>1209</v>
      </c>
      <c r="H633" s="54" t="s">
        <v>13</v>
      </c>
      <c r="I633" s="60">
        <v>125000</v>
      </c>
      <c r="J633" s="54" t="s">
        <v>686</v>
      </c>
      <c r="K633" s="73">
        <v>14</v>
      </c>
      <c r="L633" s="65"/>
      <c r="M633" s="47">
        <f t="shared" si="14"/>
        <v>0</v>
      </c>
      <c r="N633" s="45"/>
    </row>
    <row r="634" spans="2:14" x14ac:dyDescent="0.3">
      <c r="B634" s="67" t="s">
        <v>1292</v>
      </c>
      <c r="C634" s="54" t="s">
        <v>1312</v>
      </c>
      <c r="D634" s="54">
        <v>13</v>
      </c>
      <c r="E634" s="52" t="s">
        <v>1307</v>
      </c>
      <c r="F634" s="54" t="s">
        <v>14</v>
      </c>
      <c r="G634" s="54" t="s">
        <v>1209</v>
      </c>
      <c r="H634" s="54" t="s">
        <v>13</v>
      </c>
      <c r="I634" s="60">
        <v>125000</v>
      </c>
      <c r="J634" s="54" t="s">
        <v>686</v>
      </c>
      <c r="K634" s="73">
        <v>6</v>
      </c>
      <c r="L634" s="65"/>
      <c r="M634" s="47">
        <f t="shared" si="14"/>
        <v>0</v>
      </c>
      <c r="N634" s="45"/>
    </row>
    <row r="635" spans="2:14" x14ac:dyDescent="0.3">
      <c r="B635" s="67" t="s">
        <v>361</v>
      </c>
      <c r="C635" s="54" t="s">
        <v>1312</v>
      </c>
      <c r="D635" s="54">
        <v>13</v>
      </c>
      <c r="E635" s="52" t="s">
        <v>759</v>
      </c>
      <c r="F635" s="54" t="s">
        <v>14</v>
      </c>
      <c r="G635" s="54" t="s">
        <v>62</v>
      </c>
      <c r="H635" s="54" t="s">
        <v>13</v>
      </c>
      <c r="I635" s="60">
        <v>35000</v>
      </c>
      <c r="J635" s="54" t="s">
        <v>686</v>
      </c>
      <c r="K635" s="73">
        <v>3</v>
      </c>
      <c r="L635" s="65"/>
      <c r="M635" s="47">
        <f t="shared" si="14"/>
        <v>0</v>
      </c>
      <c r="N635" s="45"/>
    </row>
    <row r="636" spans="2:14" x14ac:dyDescent="0.3">
      <c r="B636" s="67" t="s">
        <v>1290</v>
      </c>
      <c r="C636" s="54" t="s">
        <v>1312</v>
      </c>
      <c r="D636" s="54">
        <v>13</v>
      </c>
      <c r="E636" s="52" t="s">
        <v>1305</v>
      </c>
      <c r="F636" s="54" t="s">
        <v>14</v>
      </c>
      <c r="G636" s="54" t="s">
        <v>1209</v>
      </c>
      <c r="H636" s="54" t="s">
        <v>13</v>
      </c>
      <c r="I636" s="60">
        <v>6500</v>
      </c>
      <c r="J636" s="54" t="s">
        <v>10</v>
      </c>
      <c r="K636" s="73">
        <v>118</v>
      </c>
      <c r="L636" s="65"/>
      <c r="M636" s="47">
        <f t="shared" si="14"/>
        <v>0</v>
      </c>
      <c r="N636" s="45"/>
    </row>
    <row r="637" spans="2:14" x14ac:dyDescent="0.3">
      <c r="B637" s="67" t="s">
        <v>1289</v>
      </c>
      <c r="C637" s="54" t="s">
        <v>1312</v>
      </c>
      <c r="D637" s="54">
        <v>13</v>
      </c>
      <c r="E637" s="52" t="s">
        <v>1304</v>
      </c>
      <c r="F637" s="54" t="s">
        <v>14</v>
      </c>
      <c r="G637" s="54" t="s">
        <v>1209</v>
      </c>
      <c r="H637" s="54" t="s">
        <v>13</v>
      </c>
      <c r="I637" s="60">
        <v>6500</v>
      </c>
      <c r="J637" s="54" t="s">
        <v>10</v>
      </c>
      <c r="K637" s="73">
        <v>90</v>
      </c>
      <c r="L637" s="65"/>
      <c r="M637" s="47">
        <f t="shared" si="14"/>
        <v>0</v>
      </c>
      <c r="N637" s="45"/>
    </row>
    <row r="638" spans="2:14" x14ac:dyDescent="0.3">
      <c r="B638" s="67" t="s">
        <v>1288</v>
      </c>
      <c r="C638" s="54" t="s">
        <v>1312</v>
      </c>
      <c r="D638" s="54">
        <v>13</v>
      </c>
      <c r="E638" s="52" t="s">
        <v>1303</v>
      </c>
      <c r="F638" s="54" t="s">
        <v>14</v>
      </c>
      <c r="G638" s="54" t="s">
        <v>1209</v>
      </c>
      <c r="H638" s="54" t="s">
        <v>13</v>
      </c>
      <c r="I638" s="60">
        <v>6500</v>
      </c>
      <c r="J638" s="54" t="s">
        <v>10</v>
      </c>
      <c r="K638" s="73">
        <v>86</v>
      </c>
      <c r="L638" s="65"/>
      <c r="M638" s="47">
        <f t="shared" si="14"/>
        <v>0</v>
      </c>
      <c r="N638" s="45"/>
    </row>
    <row r="639" spans="2:14" x14ac:dyDescent="0.3">
      <c r="B639" s="67" t="s">
        <v>395</v>
      </c>
      <c r="C639" s="54" t="s">
        <v>1312</v>
      </c>
      <c r="D639" s="54">
        <v>13</v>
      </c>
      <c r="E639" s="52" t="s">
        <v>1512</v>
      </c>
      <c r="F639" s="54" t="s">
        <v>14</v>
      </c>
      <c r="G639" s="54" t="s">
        <v>63</v>
      </c>
      <c r="H639" s="54" t="s">
        <v>13</v>
      </c>
      <c r="I639" s="60">
        <v>20000</v>
      </c>
      <c r="J639" s="54" t="s">
        <v>10</v>
      </c>
      <c r="K639" s="73">
        <v>58</v>
      </c>
      <c r="L639" s="65"/>
      <c r="M639" s="47">
        <f t="shared" si="14"/>
        <v>0</v>
      </c>
      <c r="N639" s="45"/>
    </row>
    <row r="640" spans="2:14" x14ac:dyDescent="0.3">
      <c r="B640" s="67" t="s">
        <v>1287</v>
      </c>
      <c r="C640" s="54" t="s">
        <v>1312</v>
      </c>
      <c r="D640" s="54">
        <v>13</v>
      </c>
      <c r="E640" s="52" t="s">
        <v>1302</v>
      </c>
      <c r="F640" s="54" t="s">
        <v>14</v>
      </c>
      <c r="G640" s="54" t="s">
        <v>1209</v>
      </c>
      <c r="H640" s="54" t="s">
        <v>13</v>
      </c>
      <c r="I640" s="60">
        <v>10000</v>
      </c>
      <c r="J640" s="54" t="s">
        <v>10</v>
      </c>
      <c r="K640" s="73">
        <v>155</v>
      </c>
      <c r="L640" s="65"/>
      <c r="M640" s="47">
        <f t="shared" si="14"/>
        <v>0</v>
      </c>
      <c r="N640" s="45"/>
    </row>
    <row r="641" spans="2:14" x14ac:dyDescent="0.3">
      <c r="B641" s="42" t="s">
        <v>1951</v>
      </c>
      <c r="C641" s="5" t="s">
        <v>1033</v>
      </c>
      <c r="D641" s="5">
        <v>14</v>
      </c>
      <c r="E641" s="48" t="s">
        <v>1746</v>
      </c>
      <c r="F641" s="3" t="s">
        <v>14</v>
      </c>
      <c r="G641" s="3" t="s">
        <v>686</v>
      </c>
      <c r="H641" s="9" t="s">
        <v>1275</v>
      </c>
      <c r="I641" s="3"/>
      <c r="J641" s="3" t="s">
        <v>11</v>
      </c>
      <c r="K641" s="72">
        <v>65</v>
      </c>
      <c r="L641" s="62"/>
      <c r="M641" s="47">
        <f t="shared" si="14"/>
        <v>0</v>
      </c>
      <c r="N641" s="56"/>
    </row>
    <row r="642" spans="2:14" x14ac:dyDescent="0.3">
      <c r="B642" s="42" t="s">
        <v>1986</v>
      </c>
      <c r="C642" s="5" t="s">
        <v>1401</v>
      </c>
      <c r="D642" s="5">
        <v>14</v>
      </c>
      <c r="E642" s="41" t="s">
        <v>1611</v>
      </c>
      <c r="F642" s="3" t="s">
        <v>14</v>
      </c>
      <c r="G642" s="3" t="s">
        <v>1403</v>
      </c>
      <c r="H642" s="9" t="s">
        <v>1275</v>
      </c>
      <c r="I642" s="61">
        <v>16000</v>
      </c>
      <c r="J642" s="9"/>
      <c r="K642" s="72">
        <v>90</v>
      </c>
      <c r="L642" s="62"/>
      <c r="M642" s="47">
        <f t="shared" si="14"/>
        <v>0</v>
      </c>
      <c r="N642" s="45"/>
    </row>
    <row r="643" spans="2:14" x14ac:dyDescent="0.3">
      <c r="B643" s="42" t="s">
        <v>1987</v>
      </c>
      <c r="C643" s="5" t="s">
        <v>1401</v>
      </c>
      <c r="D643" s="5">
        <v>14</v>
      </c>
      <c r="E643" s="41" t="s">
        <v>1679</v>
      </c>
      <c r="F643" s="3" t="s">
        <v>14</v>
      </c>
      <c r="G643" s="3" t="s">
        <v>1405</v>
      </c>
      <c r="H643" s="9" t="s">
        <v>1275</v>
      </c>
      <c r="I643" s="9"/>
      <c r="J643" s="9"/>
      <c r="K643" s="72">
        <v>1</v>
      </c>
      <c r="L643" s="62"/>
      <c r="M643" s="47">
        <f t="shared" si="14"/>
        <v>0</v>
      </c>
      <c r="N643" s="45"/>
    </row>
    <row r="644" spans="2:14" x14ac:dyDescent="0.3">
      <c r="B644" s="42" t="s">
        <v>1988</v>
      </c>
      <c r="C644" s="5" t="s">
        <v>1401</v>
      </c>
      <c r="D644" s="5">
        <v>14</v>
      </c>
      <c r="E644" s="41" t="s">
        <v>1697</v>
      </c>
      <c r="F644" s="3" t="s">
        <v>14</v>
      </c>
      <c r="G644" s="3" t="s">
        <v>1405</v>
      </c>
      <c r="H644" s="9" t="s">
        <v>1275</v>
      </c>
      <c r="I644" s="9"/>
      <c r="J644" s="9"/>
      <c r="K644" s="72">
        <v>1</v>
      </c>
      <c r="L644" s="62"/>
      <c r="M644" s="47">
        <f t="shared" si="14"/>
        <v>0</v>
      </c>
      <c r="N644" s="45"/>
    </row>
    <row r="645" spans="2:14" x14ac:dyDescent="0.3">
      <c r="B645" s="42" t="s">
        <v>1989</v>
      </c>
      <c r="C645" s="5" t="s">
        <v>1401</v>
      </c>
      <c r="D645" s="5">
        <v>14</v>
      </c>
      <c r="E645" s="41" t="s">
        <v>1691</v>
      </c>
      <c r="F645" s="3" t="s">
        <v>14</v>
      </c>
      <c r="G645" s="3" t="s">
        <v>1405</v>
      </c>
      <c r="H645" s="9" t="s">
        <v>1275</v>
      </c>
      <c r="I645" s="43"/>
      <c r="J645" s="9"/>
      <c r="K645" s="72">
        <v>1</v>
      </c>
      <c r="L645" s="62"/>
      <c r="M645" s="47">
        <f t="shared" si="14"/>
        <v>0</v>
      </c>
      <c r="N645" s="45"/>
    </row>
    <row r="646" spans="2:14" x14ac:dyDescent="0.3">
      <c r="B646" s="42" t="s">
        <v>1990</v>
      </c>
      <c r="C646" s="5" t="s">
        <v>1401</v>
      </c>
      <c r="D646" s="5">
        <v>14</v>
      </c>
      <c r="E646" s="41" t="s">
        <v>1655</v>
      </c>
      <c r="F646" s="3" t="s">
        <v>14</v>
      </c>
      <c r="G646" s="3" t="s">
        <v>1405</v>
      </c>
      <c r="H646" s="9" t="s">
        <v>1275</v>
      </c>
      <c r="I646" s="43"/>
      <c r="J646" s="9"/>
      <c r="K646" s="72">
        <v>2</v>
      </c>
      <c r="L646" s="62"/>
      <c r="M646" s="47">
        <f t="shared" si="14"/>
        <v>0</v>
      </c>
      <c r="N646" s="45"/>
    </row>
    <row r="647" spans="2:14" ht="28.8" x14ac:dyDescent="0.3">
      <c r="B647" s="67" t="s">
        <v>2099</v>
      </c>
      <c r="C647" s="5" t="s">
        <v>1478</v>
      </c>
      <c r="D647" s="5">
        <v>14</v>
      </c>
      <c r="E647" s="41" t="s">
        <v>1488</v>
      </c>
      <c r="F647" s="3" t="s">
        <v>14</v>
      </c>
      <c r="G647" s="54" t="s">
        <v>1596</v>
      </c>
      <c r="H647" s="3" t="s">
        <v>1275</v>
      </c>
      <c r="I647" s="36">
        <v>60000</v>
      </c>
      <c r="J647" s="3" t="s">
        <v>11</v>
      </c>
      <c r="K647" s="72">
        <v>150</v>
      </c>
      <c r="L647" s="62"/>
      <c r="M647" s="47">
        <f t="shared" ref="M647:M709" si="15">+K647*L647</f>
        <v>0</v>
      </c>
      <c r="N647" s="45"/>
    </row>
    <row r="648" spans="2:14" ht="28.8" x14ac:dyDescent="0.3">
      <c r="B648" s="67" t="s">
        <v>2100</v>
      </c>
      <c r="C648" s="5" t="s">
        <v>1478</v>
      </c>
      <c r="D648" s="5">
        <v>14</v>
      </c>
      <c r="E648" s="41" t="s">
        <v>1489</v>
      </c>
      <c r="F648" s="3" t="s">
        <v>14</v>
      </c>
      <c r="G648" s="54" t="s">
        <v>1597</v>
      </c>
      <c r="H648" s="3" t="s">
        <v>1275</v>
      </c>
      <c r="I648" s="36">
        <v>5000</v>
      </c>
      <c r="J648" s="3" t="s">
        <v>11</v>
      </c>
      <c r="K648" s="72">
        <v>400</v>
      </c>
      <c r="L648" s="62"/>
      <c r="M648" s="47">
        <f t="shared" si="15"/>
        <v>0</v>
      </c>
      <c r="N648" s="45"/>
    </row>
    <row r="649" spans="2:14" x14ac:dyDescent="0.3">
      <c r="B649" s="67" t="s">
        <v>2101</v>
      </c>
      <c r="C649" s="5" t="s">
        <v>1478</v>
      </c>
      <c r="D649" s="5">
        <v>14</v>
      </c>
      <c r="E649" s="41" t="s">
        <v>1490</v>
      </c>
      <c r="F649" s="3" t="s">
        <v>14</v>
      </c>
      <c r="G649" s="3" t="s">
        <v>1414</v>
      </c>
      <c r="H649" s="3" t="s">
        <v>1275</v>
      </c>
      <c r="I649" s="36">
        <v>1500</v>
      </c>
      <c r="J649" s="3" t="s">
        <v>11</v>
      </c>
      <c r="K649" s="72">
        <v>500</v>
      </c>
      <c r="L649" s="62"/>
      <c r="M649" s="47">
        <f t="shared" si="15"/>
        <v>0</v>
      </c>
      <c r="N649" s="45"/>
    </row>
    <row r="650" spans="2:14" x14ac:dyDescent="0.3">
      <c r="B650" s="42" t="s">
        <v>2102</v>
      </c>
      <c r="C650" s="5" t="s">
        <v>1478</v>
      </c>
      <c r="D650" s="5">
        <v>14</v>
      </c>
      <c r="E650" s="41" t="s">
        <v>1607</v>
      </c>
      <c r="F650" s="3" t="s">
        <v>14</v>
      </c>
      <c r="G650" s="3" t="s">
        <v>1414</v>
      </c>
      <c r="H650" s="3" t="s">
        <v>1275</v>
      </c>
      <c r="I650" s="36">
        <v>1500</v>
      </c>
      <c r="J650" s="3" t="s">
        <v>11</v>
      </c>
      <c r="K650" s="72">
        <v>200</v>
      </c>
      <c r="L650" s="62"/>
      <c r="M650" s="47">
        <f t="shared" si="15"/>
        <v>0</v>
      </c>
      <c r="N650" s="45"/>
    </row>
    <row r="651" spans="2:14" x14ac:dyDescent="0.3">
      <c r="B651" s="42" t="s">
        <v>345</v>
      </c>
      <c r="C651" s="5" t="s">
        <v>1033</v>
      </c>
      <c r="D651" s="5">
        <v>14</v>
      </c>
      <c r="E651" s="48" t="s">
        <v>743</v>
      </c>
      <c r="F651" s="9" t="s">
        <v>14</v>
      </c>
      <c r="G651" s="9" t="s">
        <v>35</v>
      </c>
      <c r="H651" s="9" t="s">
        <v>1275</v>
      </c>
      <c r="I651" s="9"/>
      <c r="J651" s="9" t="s">
        <v>10</v>
      </c>
      <c r="K651" s="72">
        <v>20</v>
      </c>
      <c r="L651" s="62"/>
      <c r="M651" s="47">
        <f t="shared" si="15"/>
        <v>0</v>
      </c>
      <c r="N651" s="45"/>
    </row>
    <row r="652" spans="2:14" x14ac:dyDescent="0.3">
      <c r="B652" s="42" t="s">
        <v>662</v>
      </c>
      <c r="C652" s="5" t="s">
        <v>285</v>
      </c>
      <c r="D652" s="5">
        <v>14</v>
      </c>
      <c r="E652" s="41" t="s">
        <v>991</v>
      </c>
      <c r="F652" s="3" t="s">
        <v>14</v>
      </c>
      <c r="G652" s="3" t="s">
        <v>301</v>
      </c>
      <c r="H652" s="9" t="s">
        <v>1275</v>
      </c>
      <c r="I652" s="9" t="s">
        <v>1353</v>
      </c>
      <c r="J652" s="3" t="s">
        <v>10</v>
      </c>
      <c r="K652" s="72">
        <v>70</v>
      </c>
      <c r="L652" s="62"/>
      <c r="M652" s="47">
        <f t="shared" si="15"/>
        <v>0</v>
      </c>
      <c r="N652" s="45"/>
    </row>
    <row r="653" spans="2:14" x14ac:dyDescent="0.3">
      <c r="B653" s="42" t="s">
        <v>1856</v>
      </c>
      <c r="C653" s="5" t="s">
        <v>1396</v>
      </c>
      <c r="D653" s="5">
        <v>15</v>
      </c>
      <c r="E653" s="41" t="s">
        <v>1604</v>
      </c>
      <c r="F653" s="3" t="s">
        <v>15</v>
      </c>
      <c r="G653" s="3" t="s">
        <v>168</v>
      </c>
      <c r="H653" s="9" t="s">
        <v>13</v>
      </c>
      <c r="I653" s="36">
        <v>25000</v>
      </c>
      <c r="J653" s="3" t="s">
        <v>11</v>
      </c>
      <c r="K653" s="72">
        <v>12</v>
      </c>
      <c r="L653" s="62"/>
      <c r="M653" s="47">
        <f t="shared" si="15"/>
        <v>0</v>
      </c>
      <c r="N653" s="45"/>
    </row>
    <row r="654" spans="2:14" x14ac:dyDescent="0.3">
      <c r="B654" s="42" t="s">
        <v>1857</v>
      </c>
      <c r="C654" s="5" t="s">
        <v>1396</v>
      </c>
      <c r="D654" s="5">
        <v>15</v>
      </c>
      <c r="E654" s="41" t="s">
        <v>1604</v>
      </c>
      <c r="F654" s="3" t="s">
        <v>15</v>
      </c>
      <c r="G654" s="3" t="s">
        <v>284</v>
      </c>
      <c r="H654" s="9" t="s">
        <v>13</v>
      </c>
      <c r="I654" s="36">
        <v>2000</v>
      </c>
      <c r="J654" s="3" t="s">
        <v>10</v>
      </c>
      <c r="K654" s="72">
        <v>15</v>
      </c>
      <c r="L654" s="62"/>
      <c r="M654" s="47">
        <f t="shared" si="15"/>
        <v>0</v>
      </c>
      <c r="N654" s="45"/>
    </row>
    <row r="655" spans="2:14" x14ac:dyDescent="0.3">
      <c r="B655" s="42" t="s">
        <v>1858</v>
      </c>
      <c r="C655" s="5" t="s">
        <v>1396</v>
      </c>
      <c r="D655" s="5">
        <v>15</v>
      </c>
      <c r="E655" s="41" t="s">
        <v>1638</v>
      </c>
      <c r="F655" s="3" t="s">
        <v>15</v>
      </c>
      <c r="G655" s="3" t="s">
        <v>214</v>
      </c>
      <c r="H655" s="9" t="s">
        <v>13</v>
      </c>
      <c r="I655" s="3"/>
      <c r="J655" s="3" t="s">
        <v>11</v>
      </c>
      <c r="K655" s="72">
        <v>15</v>
      </c>
      <c r="L655" s="62"/>
      <c r="M655" s="47">
        <f t="shared" si="15"/>
        <v>0</v>
      </c>
      <c r="N655" s="45"/>
    </row>
    <row r="656" spans="2:14" x14ac:dyDescent="0.3">
      <c r="B656" s="42" t="s">
        <v>2052</v>
      </c>
      <c r="C656" s="5" t="s">
        <v>1108</v>
      </c>
      <c r="D656" s="5">
        <v>15</v>
      </c>
      <c r="E656" s="41" t="s">
        <v>1759</v>
      </c>
      <c r="F656" s="3" t="s">
        <v>15</v>
      </c>
      <c r="G656" s="3" t="s">
        <v>1421</v>
      </c>
      <c r="H656" s="9" t="s">
        <v>13</v>
      </c>
      <c r="I656" s="3"/>
      <c r="J656" s="3"/>
      <c r="K656" s="72">
        <v>5</v>
      </c>
      <c r="L656" s="62"/>
      <c r="M656" s="47">
        <f t="shared" si="15"/>
        <v>0</v>
      </c>
      <c r="N656" s="45"/>
    </row>
    <row r="657" spans="2:14" x14ac:dyDescent="0.3">
      <c r="B657" s="42" t="s">
        <v>2053</v>
      </c>
      <c r="C657" s="5" t="s">
        <v>1108</v>
      </c>
      <c r="D657" s="5">
        <v>15</v>
      </c>
      <c r="E657" s="41" t="s">
        <v>1758</v>
      </c>
      <c r="F657" s="3" t="s">
        <v>15</v>
      </c>
      <c r="G657" s="3" t="s">
        <v>1422</v>
      </c>
      <c r="H657" s="9" t="s">
        <v>13</v>
      </c>
      <c r="I657" s="3"/>
      <c r="J657" s="3"/>
      <c r="K657" s="72">
        <v>3</v>
      </c>
      <c r="L657" s="62"/>
      <c r="M657" s="47">
        <f t="shared" si="15"/>
        <v>0</v>
      </c>
      <c r="N657" s="45"/>
    </row>
    <row r="658" spans="2:14" x14ac:dyDescent="0.3">
      <c r="B658" s="42" t="s">
        <v>2054</v>
      </c>
      <c r="C658" s="5" t="s">
        <v>1108</v>
      </c>
      <c r="D658" s="5">
        <v>15</v>
      </c>
      <c r="E658" s="41" t="s">
        <v>1755</v>
      </c>
      <c r="F658" s="3" t="s">
        <v>15</v>
      </c>
      <c r="G658" s="3" t="s">
        <v>1421</v>
      </c>
      <c r="H658" s="9" t="s">
        <v>13</v>
      </c>
      <c r="I658" s="3"/>
      <c r="J658" s="3" t="s">
        <v>10</v>
      </c>
      <c r="K658" s="72">
        <v>10</v>
      </c>
      <c r="L658" s="62"/>
      <c r="M658" s="47">
        <f t="shared" si="15"/>
        <v>0</v>
      </c>
      <c r="N658" s="45"/>
    </row>
    <row r="659" spans="2:14" x14ac:dyDescent="0.3">
      <c r="B659" s="42" t="s">
        <v>2055</v>
      </c>
      <c r="C659" s="5" t="s">
        <v>1108</v>
      </c>
      <c r="D659" s="5">
        <v>15</v>
      </c>
      <c r="E659" s="41" t="s">
        <v>1756</v>
      </c>
      <c r="F659" s="3" t="s">
        <v>15</v>
      </c>
      <c r="G659" s="3" t="s">
        <v>1423</v>
      </c>
      <c r="H659" s="9" t="s">
        <v>13</v>
      </c>
      <c r="I659" s="3"/>
      <c r="J659" s="3" t="s">
        <v>10</v>
      </c>
      <c r="K659" s="72">
        <v>3</v>
      </c>
      <c r="L659" s="62"/>
      <c r="M659" s="47">
        <f t="shared" si="15"/>
        <v>0</v>
      </c>
      <c r="N659" s="45"/>
    </row>
    <row r="660" spans="2:14" x14ac:dyDescent="0.3">
      <c r="B660" s="42" t="s">
        <v>2056</v>
      </c>
      <c r="C660" s="5" t="s">
        <v>1108</v>
      </c>
      <c r="D660" s="5">
        <v>15</v>
      </c>
      <c r="E660" s="41" t="s">
        <v>1757</v>
      </c>
      <c r="F660" s="3" t="s">
        <v>15</v>
      </c>
      <c r="G660" s="3" t="s">
        <v>1424</v>
      </c>
      <c r="H660" s="9" t="s">
        <v>13</v>
      </c>
      <c r="I660" s="3"/>
      <c r="J660" s="3" t="s">
        <v>10</v>
      </c>
      <c r="K660" s="72">
        <v>7</v>
      </c>
      <c r="L660" s="62"/>
      <c r="M660" s="47">
        <f t="shared" si="15"/>
        <v>0</v>
      </c>
      <c r="N660" s="45"/>
    </row>
    <row r="661" spans="2:14" x14ac:dyDescent="0.3">
      <c r="B661" s="67" t="s">
        <v>2084</v>
      </c>
      <c r="C661" s="5" t="s">
        <v>1241</v>
      </c>
      <c r="D661" s="5">
        <v>15</v>
      </c>
      <c r="E661" s="41" t="s">
        <v>1562</v>
      </c>
      <c r="F661" s="3" t="s">
        <v>15</v>
      </c>
      <c r="G661" s="3" t="s">
        <v>1467</v>
      </c>
      <c r="H661" s="3" t="s">
        <v>13</v>
      </c>
      <c r="I661" s="3" t="s">
        <v>1845</v>
      </c>
      <c r="J661" s="3" t="s">
        <v>10</v>
      </c>
      <c r="K661" s="72">
        <v>6</v>
      </c>
      <c r="L661" s="62"/>
      <c r="M661" s="47">
        <f t="shared" si="15"/>
        <v>0</v>
      </c>
      <c r="N661" s="45"/>
    </row>
    <row r="662" spans="2:14" x14ac:dyDescent="0.3">
      <c r="B662" s="67" t="s">
        <v>2085</v>
      </c>
      <c r="C662" s="5" t="s">
        <v>1241</v>
      </c>
      <c r="D662" s="5">
        <v>15</v>
      </c>
      <c r="E662" s="41" t="s">
        <v>1459</v>
      </c>
      <c r="F662" s="3" t="s">
        <v>15</v>
      </c>
      <c r="G662" s="3" t="s">
        <v>1460</v>
      </c>
      <c r="H662" s="3" t="s">
        <v>13</v>
      </c>
      <c r="I662" s="36">
        <v>1500</v>
      </c>
      <c r="J662" s="3" t="s">
        <v>10</v>
      </c>
      <c r="K662" s="72">
        <v>20</v>
      </c>
      <c r="L662" s="62"/>
      <c r="M662" s="47">
        <f t="shared" si="15"/>
        <v>0</v>
      </c>
      <c r="N662" s="45"/>
    </row>
    <row r="663" spans="2:14" x14ac:dyDescent="0.3">
      <c r="B663" s="67" t="s">
        <v>2086</v>
      </c>
      <c r="C663" s="5" t="s">
        <v>1241</v>
      </c>
      <c r="D663" s="5">
        <v>15</v>
      </c>
      <c r="E663" s="41" t="s">
        <v>1685</v>
      </c>
      <c r="F663" s="3" t="s">
        <v>15</v>
      </c>
      <c r="G663" s="3" t="s">
        <v>1460</v>
      </c>
      <c r="H663" s="3" t="s">
        <v>13</v>
      </c>
      <c r="I663" s="36">
        <v>1500</v>
      </c>
      <c r="J663" s="3" t="s">
        <v>10</v>
      </c>
      <c r="K663" s="72">
        <v>20</v>
      </c>
      <c r="L663" s="62"/>
      <c r="M663" s="47">
        <f t="shared" si="15"/>
        <v>0</v>
      </c>
      <c r="N663" s="45"/>
    </row>
    <row r="664" spans="2:14" x14ac:dyDescent="0.3">
      <c r="B664" s="67" t="s">
        <v>2087</v>
      </c>
      <c r="C664" s="5" t="s">
        <v>1241</v>
      </c>
      <c r="D664" s="5">
        <v>15</v>
      </c>
      <c r="E664" s="41" t="s">
        <v>1732</v>
      </c>
      <c r="F664" s="3" t="s">
        <v>15</v>
      </c>
      <c r="G664" s="3" t="s">
        <v>1460</v>
      </c>
      <c r="H664" s="3" t="s">
        <v>13</v>
      </c>
      <c r="I664" s="36">
        <v>1500</v>
      </c>
      <c r="J664" s="3" t="s">
        <v>10</v>
      </c>
      <c r="K664" s="72">
        <v>20</v>
      </c>
      <c r="L664" s="62"/>
      <c r="M664" s="47">
        <f t="shared" si="15"/>
        <v>0</v>
      </c>
      <c r="N664" s="45"/>
    </row>
    <row r="665" spans="2:14" x14ac:dyDescent="0.3">
      <c r="B665" s="67" t="s">
        <v>2088</v>
      </c>
      <c r="C665" s="5" t="s">
        <v>1241</v>
      </c>
      <c r="D665" s="5">
        <v>15</v>
      </c>
      <c r="E665" s="41" t="s">
        <v>1634</v>
      </c>
      <c r="F665" s="3" t="s">
        <v>15</v>
      </c>
      <c r="G665" s="3" t="s">
        <v>1453</v>
      </c>
      <c r="H665" s="9" t="s">
        <v>13</v>
      </c>
      <c r="I665" s="46">
        <v>1500</v>
      </c>
      <c r="J665" s="3" t="s">
        <v>1454</v>
      </c>
      <c r="K665" s="72">
        <v>20</v>
      </c>
      <c r="L665" s="62"/>
      <c r="M665" s="47">
        <f t="shared" si="15"/>
        <v>0</v>
      </c>
      <c r="N665" s="45"/>
    </row>
    <row r="666" spans="2:14" x14ac:dyDescent="0.3">
      <c r="B666" s="42" t="s">
        <v>2152</v>
      </c>
      <c r="C666" s="54" t="s">
        <v>1312</v>
      </c>
      <c r="D666" s="54">
        <v>15</v>
      </c>
      <c r="E666" s="50" t="s">
        <v>1571</v>
      </c>
      <c r="F666" s="54" t="s">
        <v>15</v>
      </c>
      <c r="G666" s="54" t="s">
        <v>1521</v>
      </c>
      <c r="H666" s="54" t="s">
        <v>13</v>
      </c>
      <c r="I666" s="54" t="s">
        <v>686</v>
      </c>
      <c r="J666" s="54" t="s">
        <v>686</v>
      </c>
      <c r="K666" s="73">
        <v>6</v>
      </c>
      <c r="L666" s="65"/>
      <c r="M666" s="47">
        <f t="shared" si="15"/>
        <v>0</v>
      </c>
      <c r="N666" s="45"/>
    </row>
    <row r="667" spans="2:14" x14ac:dyDescent="0.3">
      <c r="B667" s="42" t="s">
        <v>2153</v>
      </c>
      <c r="C667" s="54" t="s">
        <v>1312</v>
      </c>
      <c r="D667" s="54">
        <v>15</v>
      </c>
      <c r="E667" s="50" t="s">
        <v>1570</v>
      </c>
      <c r="F667" s="54" t="s">
        <v>15</v>
      </c>
      <c r="G667" s="54" t="s">
        <v>1520</v>
      </c>
      <c r="H667" s="54" t="s">
        <v>13</v>
      </c>
      <c r="I667" s="54" t="s">
        <v>686</v>
      </c>
      <c r="J667" s="54" t="s">
        <v>686</v>
      </c>
      <c r="K667" s="73">
        <v>22</v>
      </c>
      <c r="L667" s="65"/>
      <c r="M667" s="47">
        <f t="shared" si="15"/>
        <v>0</v>
      </c>
      <c r="N667" s="45"/>
    </row>
    <row r="668" spans="2:14" x14ac:dyDescent="0.3">
      <c r="B668" s="42" t="s">
        <v>2154</v>
      </c>
      <c r="C668" s="54" t="s">
        <v>1312</v>
      </c>
      <c r="D668" s="54">
        <v>15</v>
      </c>
      <c r="E668" s="50" t="s">
        <v>1721</v>
      </c>
      <c r="F668" s="54" t="s">
        <v>15</v>
      </c>
      <c r="G668" s="54" t="s">
        <v>1514</v>
      </c>
      <c r="H668" s="54" t="s">
        <v>13</v>
      </c>
      <c r="I668" s="60">
        <v>60000</v>
      </c>
      <c r="J668" s="54" t="s">
        <v>686</v>
      </c>
      <c r="K668" s="73">
        <v>1</v>
      </c>
      <c r="L668" s="65"/>
      <c r="M668" s="47">
        <f t="shared" si="15"/>
        <v>0</v>
      </c>
      <c r="N668" s="45"/>
    </row>
    <row r="669" spans="2:14" x14ac:dyDescent="0.3">
      <c r="B669" s="42" t="s">
        <v>2155</v>
      </c>
      <c r="C669" s="54" t="s">
        <v>1312</v>
      </c>
      <c r="D669" s="54">
        <v>15</v>
      </c>
      <c r="E669" s="50" t="s">
        <v>1615</v>
      </c>
      <c r="F669" s="54" t="s">
        <v>15</v>
      </c>
      <c r="G669" s="54" t="s">
        <v>65</v>
      </c>
      <c r="H669" s="54" t="s">
        <v>13</v>
      </c>
      <c r="I669" s="54" t="s">
        <v>686</v>
      </c>
      <c r="J669" s="54" t="s">
        <v>686</v>
      </c>
      <c r="K669" s="73">
        <v>5</v>
      </c>
      <c r="L669" s="65"/>
      <c r="M669" s="47">
        <f t="shared" si="15"/>
        <v>0</v>
      </c>
      <c r="N669" s="45"/>
    </row>
    <row r="670" spans="2:14" x14ac:dyDescent="0.3">
      <c r="B670" s="42" t="s">
        <v>2156</v>
      </c>
      <c r="C670" s="54" t="s">
        <v>1312</v>
      </c>
      <c r="D670" s="54">
        <v>15</v>
      </c>
      <c r="E670" s="50" t="s">
        <v>1564</v>
      </c>
      <c r="F670" s="54" t="s">
        <v>15</v>
      </c>
      <c r="G670" s="54" t="s">
        <v>1513</v>
      </c>
      <c r="H670" s="54" t="s">
        <v>13</v>
      </c>
      <c r="I670" s="60">
        <v>25000</v>
      </c>
      <c r="J670" s="54" t="s">
        <v>686</v>
      </c>
      <c r="K670" s="73">
        <v>17</v>
      </c>
      <c r="L670" s="65"/>
      <c r="M670" s="47">
        <f t="shared" si="15"/>
        <v>0</v>
      </c>
      <c r="N670" s="45"/>
    </row>
    <row r="671" spans="2:14" x14ac:dyDescent="0.3">
      <c r="B671" s="42" t="s">
        <v>2157</v>
      </c>
      <c r="C671" s="54" t="s">
        <v>1312</v>
      </c>
      <c r="D671" s="54">
        <v>15</v>
      </c>
      <c r="E671" s="50" t="s">
        <v>1665</v>
      </c>
      <c r="F671" s="54" t="s">
        <v>15</v>
      </c>
      <c r="G671" s="54" t="s">
        <v>1498</v>
      </c>
      <c r="H671" s="54" t="s">
        <v>13</v>
      </c>
      <c r="I671" s="36">
        <v>2500</v>
      </c>
      <c r="J671" s="54" t="s">
        <v>10</v>
      </c>
      <c r="K671" s="73">
        <v>2</v>
      </c>
      <c r="L671" s="65"/>
      <c r="M671" s="47">
        <f t="shared" si="15"/>
        <v>0</v>
      </c>
      <c r="N671" s="45"/>
    </row>
    <row r="672" spans="2:14" x14ac:dyDescent="0.3">
      <c r="B672" s="42" t="s">
        <v>2158</v>
      </c>
      <c r="C672" s="54" t="s">
        <v>1312</v>
      </c>
      <c r="D672" s="54">
        <v>15</v>
      </c>
      <c r="E672" s="50" t="s">
        <v>1692</v>
      </c>
      <c r="F672" s="54" t="s">
        <v>15</v>
      </c>
      <c r="G672" s="54" t="s">
        <v>1498</v>
      </c>
      <c r="H672" s="54" t="s">
        <v>13</v>
      </c>
      <c r="I672" s="36">
        <v>2500</v>
      </c>
      <c r="J672" s="54" t="s">
        <v>10</v>
      </c>
      <c r="K672" s="73">
        <v>1</v>
      </c>
      <c r="L672" s="65"/>
      <c r="M672" s="47">
        <f t="shared" si="15"/>
        <v>0</v>
      </c>
      <c r="N672" s="45"/>
    </row>
    <row r="673" spans="2:14" x14ac:dyDescent="0.3">
      <c r="B673" s="42" t="s">
        <v>504</v>
      </c>
      <c r="C673" s="5" t="s">
        <v>1108</v>
      </c>
      <c r="D673" s="5">
        <v>15</v>
      </c>
      <c r="E673" s="41" t="s">
        <v>832</v>
      </c>
      <c r="F673" s="3" t="s">
        <v>15</v>
      </c>
      <c r="G673" s="3" t="s">
        <v>213</v>
      </c>
      <c r="H673" s="9" t="s">
        <v>13</v>
      </c>
      <c r="I673" s="3"/>
      <c r="J673" s="3" t="s">
        <v>11</v>
      </c>
      <c r="K673" s="72">
        <v>28</v>
      </c>
      <c r="L673" s="62"/>
      <c r="M673" s="47">
        <f t="shared" si="15"/>
        <v>0</v>
      </c>
      <c r="N673" s="45"/>
    </row>
    <row r="674" spans="2:14" x14ac:dyDescent="0.3">
      <c r="B674" s="42" t="s">
        <v>509</v>
      </c>
      <c r="C674" s="5" t="s">
        <v>1108</v>
      </c>
      <c r="D674" s="5">
        <v>15</v>
      </c>
      <c r="E674" s="41" t="s">
        <v>836</v>
      </c>
      <c r="F674" s="3" t="s">
        <v>15</v>
      </c>
      <c r="G674" s="3" t="s">
        <v>214</v>
      </c>
      <c r="H674" s="9" t="s">
        <v>13</v>
      </c>
      <c r="I674" s="3"/>
      <c r="J674" s="3" t="s">
        <v>11</v>
      </c>
      <c r="K674" s="72">
        <v>43</v>
      </c>
      <c r="L674" s="62"/>
      <c r="M674" s="47">
        <f t="shared" si="15"/>
        <v>0</v>
      </c>
      <c r="N674" s="45"/>
    </row>
    <row r="675" spans="2:14" x14ac:dyDescent="0.3">
      <c r="B675" s="42" t="s">
        <v>1270</v>
      </c>
      <c r="C675" s="5" t="s">
        <v>1245</v>
      </c>
      <c r="D675" s="5">
        <v>15</v>
      </c>
      <c r="E675" s="41" t="s">
        <v>730</v>
      </c>
      <c r="F675" s="3" t="s">
        <v>15</v>
      </c>
      <c r="G675" s="3" t="s">
        <v>687</v>
      </c>
      <c r="H675" s="9" t="s">
        <v>13</v>
      </c>
      <c r="I675" s="36">
        <v>12000</v>
      </c>
      <c r="J675" s="3" t="s">
        <v>10</v>
      </c>
      <c r="K675" s="72">
        <v>250</v>
      </c>
      <c r="L675" s="62"/>
      <c r="M675" s="47">
        <f t="shared" si="15"/>
        <v>0</v>
      </c>
      <c r="N675" s="45">
        <v>522644535</v>
      </c>
    </row>
    <row r="676" spans="2:14" x14ac:dyDescent="0.3">
      <c r="B676" s="42" t="s">
        <v>1269</v>
      </c>
      <c r="C676" s="5" t="s">
        <v>1245</v>
      </c>
      <c r="D676" s="5">
        <v>15</v>
      </c>
      <c r="E676" s="41" t="s">
        <v>729</v>
      </c>
      <c r="F676" s="3" t="s">
        <v>15</v>
      </c>
      <c r="G676" s="3" t="s">
        <v>687</v>
      </c>
      <c r="H676" s="9" t="s">
        <v>13</v>
      </c>
      <c r="I676" s="36">
        <v>7000</v>
      </c>
      <c r="J676" s="3" t="s">
        <v>10</v>
      </c>
      <c r="K676" s="72">
        <v>1500</v>
      </c>
      <c r="L676" s="62"/>
      <c r="M676" s="47">
        <f t="shared" si="15"/>
        <v>0</v>
      </c>
      <c r="N676" s="45">
        <v>522204599</v>
      </c>
    </row>
    <row r="677" spans="2:14" x14ac:dyDescent="0.3">
      <c r="B677" s="67" t="s">
        <v>392</v>
      </c>
      <c r="C677" s="54" t="s">
        <v>1312</v>
      </c>
      <c r="D677" s="54">
        <v>15</v>
      </c>
      <c r="E677" s="52" t="s">
        <v>791</v>
      </c>
      <c r="F677" s="54" t="s">
        <v>15</v>
      </c>
      <c r="G677" s="54" t="s">
        <v>64</v>
      </c>
      <c r="H677" s="54" t="s">
        <v>13</v>
      </c>
      <c r="I677" s="60">
        <v>60000</v>
      </c>
      <c r="J677" s="54" t="s">
        <v>686</v>
      </c>
      <c r="K677" s="73">
        <v>6</v>
      </c>
      <c r="L677" s="65"/>
      <c r="M677" s="47">
        <f t="shared" si="15"/>
        <v>0</v>
      </c>
      <c r="N677" s="45"/>
    </row>
    <row r="678" spans="2:14" x14ac:dyDescent="0.3">
      <c r="B678" s="67" t="s">
        <v>393</v>
      </c>
      <c r="C678" s="54" t="s">
        <v>1312</v>
      </c>
      <c r="D678" s="54">
        <v>15</v>
      </c>
      <c r="E678" s="52" t="s">
        <v>792</v>
      </c>
      <c r="F678" s="54" t="s">
        <v>15</v>
      </c>
      <c r="G678" s="54" t="s">
        <v>64</v>
      </c>
      <c r="H678" s="54" t="s">
        <v>13</v>
      </c>
      <c r="I678" s="60">
        <v>60000</v>
      </c>
      <c r="J678" s="54" t="s">
        <v>686</v>
      </c>
      <c r="K678" s="73">
        <v>2</v>
      </c>
      <c r="L678" s="65"/>
      <c r="M678" s="47">
        <f t="shared" si="15"/>
        <v>0</v>
      </c>
      <c r="N678" s="45"/>
    </row>
    <row r="679" spans="2:14" x14ac:dyDescent="0.3">
      <c r="B679" s="67" t="s">
        <v>359</v>
      </c>
      <c r="C679" s="54" t="s">
        <v>1312</v>
      </c>
      <c r="D679" s="54">
        <v>15</v>
      </c>
      <c r="E679" s="52" t="s">
        <v>757</v>
      </c>
      <c r="F679" s="54" t="s">
        <v>15</v>
      </c>
      <c r="G679" s="54" t="s">
        <v>65</v>
      </c>
      <c r="H679" s="54" t="s">
        <v>13</v>
      </c>
      <c r="I679" s="54" t="s">
        <v>686</v>
      </c>
      <c r="J679" s="54" t="s">
        <v>686</v>
      </c>
      <c r="K679" s="73">
        <v>4</v>
      </c>
      <c r="L679" s="65"/>
      <c r="M679" s="47">
        <f t="shared" si="15"/>
        <v>0</v>
      </c>
      <c r="N679" s="45"/>
    </row>
    <row r="680" spans="2:14" x14ac:dyDescent="0.3">
      <c r="B680" s="67" t="s">
        <v>387</v>
      </c>
      <c r="C680" s="54" t="s">
        <v>1312</v>
      </c>
      <c r="D680" s="54">
        <v>15</v>
      </c>
      <c r="E680" s="52" t="s">
        <v>786</v>
      </c>
      <c r="F680" s="54" t="s">
        <v>15</v>
      </c>
      <c r="G680" s="54" t="s">
        <v>66</v>
      </c>
      <c r="H680" s="54" t="s">
        <v>13</v>
      </c>
      <c r="I680" s="60">
        <v>20000</v>
      </c>
      <c r="J680" s="54" t="s">
        <v>686</v>
      </c>
      <c r="K680" s="73">
        <v>30</v>
      </c>
      <c r="L680" s="65"/>
      <c r="M680" s="47">
        <f t="shared" si="15"/>
        <v>0</v>
      </c>
      <c r="N680" s="45"/>
    </row>
    <row r="681" spans="2:14" x14ac:dyDescent="0.3">
      <c r="B681" s="67" t="s">
        <v>394</v>
      </c>
      <c r="C681" s="54" t="s">
        <v>1312</v>
      </c>
      <c r="D681" s="54">
        <v>15</v>
      </c>
      <c r="E681" s="52" t="s">
        <v>793</v>
      </c>
      <c r="F681" s="54" t="s">
        <v>15</v>
      </c>
      <c r="G681" s="54" t="s">
        <v>64</v>
      </c>
      <c r="H681" s="54" t="s">
        <v>13</v>
      </c>
      <c r="I681" s="60">
        <v>50000</v>
      </c>
      <c r="J681" s="54" t="s">
        <v>686</v>
      </c>
      <c r="K681" s="73">
        <v>13</v>
      </c>
      <c r="L681" s="65"/>
      <c r="M681" s="47">
        <f t="shared" si="15"/>
        <v>0</v>
      </c>
      <c r="N681" s="45"/>
    </row>
    <row r="682" spans="2:14" x14ac:dyDescent="0.3">
      <c r="B682" s="67" t="s">
        <v>358</v>
      </c>
      <c r="C682" s="54" t="s">
        <v>1312</v>
      </c>
      <c r="D682" s="54">
        <v>15</v>
      </c>
      <c r="E682" s="52" t="s">
        <v>756</v>
      </c>
      <c r="F682" s="54" t="s">
        <v>15</v>
      </c>
      <c r="G682" s="54" t="s">
        <v>65</v>
      </c>
      <c r="H682" s="54" t="s">
        <v>13</v>
      </c>
      <c r="I682" s="60">
        <v>19500</v>
      </c>
      <c r="J682" s="54" t="s">
        <v>11</v>
      </c>
      <c r="K682" s="73">
        <v>22</v>
      </c>
      <c r="L682" s="65"/>
      <c r="M682" s="47">
        <f t="shared" si="15"/>
        <v>0</v>
      </c>
      <c r="N682" s="45"/>
    </row>
    <row r="683" spans="2:14" x14ac:dyDescent="0.3">
      <c r="B683" s="67" t="s">
        <v>386</v>
      </c>
      <c r="C683" s="54" t="s">
        <v>1312</v>
      </c>
      <c r="D683" s="54">
        <v>15</v>
      </c>
      <c r="E683" s="52" t="s">
        <v>785</v>
      </c>
      <c r="F683" s="54" t="s">
        <v>15</v>
      </c>
      <c r="G683" s="54" t="s">
        <v>66</v>
      </c>
      <c r="H683" s="54" t="s">
        <v>13</v>
      </c>
      <c r="I683" s="60">
        <v>10000</v>
      </c>
      <c r="J683" s="54" t="s">
        <v>10</v>
      </c>
      <c r="K683" s="73">
        <v>99</v>
      </c>
      <c r="L683" s="65"/>
      <c r="M683" s="47">
        <f t="shared" si="15"/>
        <v>0</v>
      </c>
      <c r="N683" s="45"/>
    </row>
    <row r="684" spans="2:14" x14ac:dyDescent="0.3">
      <c r="B684" s="67" t="s">
        <v>388</v>
      </c>
      <c r="C684" s="54" t="s">
        <v>1312</v>
      </c>
      <c r="D684" s="54">
        <v>15</v>
      </c>
      <c r="E684" s="52" t="s">
        <v>787</v>
      </c>
      <c r="F684" s="54" t="s">
        <v>15</v>
      </c>
      <c r="G684" s="54" t="s">
        <v>64</v>
      </c>
      <c r="H684" s="54" t="s">
        <v>13</v>
      </c>
      <c r="I684" s="36">
        <v>2500</v>
      </c>
      <c r="J684" s="54" t="s">
        <v>10</v>
      </c>
      <c r="K684" s="73">
        <v>70</v>
      </c>
      <c r="L684" s="65"/>
      <c r="M684" s="47">
        <f t="shared" si="15"/>
        <v>0</v>
      </c>
      <c r="N684" s="45"/>
    </row>
    <row r="685" spans="2:14" x14ac:dyDescent="0.3">
      <c r="B685" s="67" t="s">
        <v>389</v>
      </c>
      <c r="C685" s="54" t="s">
        <v>1312</v>
      </c>
      <c r="D685" s="54">
        <v>15</v>
      </c>
      <c r="E685" s="52" t="s">
        <v>788</v>
      </c>
      <c r="F685" s="54" t="s">
        <v>15</v>
      </c>
      <c r="G685" s="54" t="s">
        <v>64</v>
      </c>
      <c r="H685" s="54" t="s">
        <v>13</v>
      </c>
      <c r="I685" s="36">
        <v>2500</v>
      </c>
      <c r="J685" s="54" t="s">
        <v>10</v>
      </c>
      <c r="K685" s="73">
        <v>76</v>
      </c>
      <c r="L685" s="65"/>
      <c r="M685" s="47">
        <f t="shared" si="15"/>
        <v>0</v>
      </c>
      <c r="N685" s="45"/>
    </row>
    <row r="686" spans="2:14" x14ac:dyDescent="0.3">
      <c r="B686" s="67" t="s">
        <v>390</v>
      </c>
      <c r="C686" s="54" t="s">
        <v>1312</v>
      </c>
      <c r="D686" s="54">
        <v>15</v>
      </c>
      <c r="E686" s="52" t="s">
        <v>789</v>
      </c>
      <c r="F686" s="54" t="s">
        <v>15</v>
      </c>
      <c r="G686" s="54" t="s">
        <v>64</v>
      </c>
      <c r="H686" s="54" t="s">
        <v>13</v>
      </c>
      <c r="I686" s="36">
        <v>2500</v>
      </c>
      <c r="J686" s="54" t="s">
        <v>10</v>
      </c>
      <c r="K686" s="73">
        <v>69</v>
      </c>
      <c r="L686" s="65"/>
      <c r="M686" s="47">
        <f t="shared" si="15"/>
        <v>0</v>
      </c>
      <c r="N686" s="45"/>
    </row>
    <row r="687" spans="2:14" x14ac:dyDescent="0.3">
      <c r="B687" s="67" t="s">
        <v>391</v>
      </c>
      <c r="C687" s="54" t="s">
        <v>1312</v>
      </c>
      <c r="D687" s="54">
        <v>15</v>
      </c>
      <c r="E687" s="52" t="s">
        <v>790</v>
      </c>
      <c r="F687" s="54" t="s">
        <v>15</v>
      </c>
      <c r="G687" s="54" t="s">
        <v>64</v>
      </c>
      <c r="H687" s="54" t="s">
        <v>13</v>
      </c>
      <c r="I687" s="60">
        <v>3000</v>
      </c>
      <c r="J687" s="54" t="s">
        <v>10</v>
      </c>
      <c r="K687" s="73">
        <v>76</v>
      </c>
      <c r="L687" s="65"/>
      <c r="M687" s="47">
        <f t="shared" si="15"/>
        <v>0</v>
      </c>
      <c r="N687" s="45"/>
    </row>
    <row r="688" spans="2:14" x14ac:dyDescent="0.3">
      <c r="B688" s="42" t="s">
        <v>1952</v>
      </c>
      <c r="C688" s="5" t="s">
        <v>1033</v>
      </c>
      <c r="D688" s="5">
        <v>16</v>
      </c>
      <c r="E688" s="48" t="s">
        <v>1561</v>
      </c>
      <c r="F688" s="3" t="s">
        <v>15</v>
      </c>
      <c r="G688" s="3" t="s">
        <v>686</v>
      </c>
      <c r="H688" s="9" t="s">
        <v>1275</v>
      </c>
      <c r="I688" s="3"/>
      <c r="J688" s="3" t="s">
        <v>11</v>
      </c>
      <c r="K688" s="72">
        <v>10</v>
      </c>
      <c r="L688" s="62"/>
      <c r="M688" s="47">
        <f t="shared" si="15"/>
        <v>0</v>
      </c>
      <c r="N688" s="56"/>
    </row>
    <row r="689" spans="2:14" x14ac:dyDescent="0.3">
      <c r="B689" s="42" t="s">
        <v>1953</v>
      </c>
      <c r="C689" s="5" t="s">
        <v>1033</v>
      </c>
      <c r="D689" s="5">
        <v>16</v>
      </c>
      <c r="E689" s="48" t="s">
        <v>1745</v>
      </c>
      <c r="F689" s="3" t="s">
        <v>15</v>
      </c>
      <c r="G689" s="3" t="s">
        <v>686</v>
      </c>
      <c r="H689" s="9" t="s">
        <v>1275</v>
      </c>
      <c r="I689" s="3"/>
      <c r="J689" s="3" t="s">
        <v>11</v>
      </c>
      <c r="K689" s="72">
        <v>120</v>
      </c>
      <c r="L689" s="62"/>
      <c r="M689" s="47">
        <f t="shared" si="15"/>
        <v>0</v>
      </c>
      <c r="N689" s="56"/>
    </row>
    <row r="690" spans="2:14" x14ac:dyDescent="0.3">
      <c r="B690" s="42" t="s">
        <v>2064</v>
      </c>
      <c r="C690" s="5" t="s">
        <v>1241</v>
      </c>
      <c r="D690" s="5">
        <v>16</v>
      </c>
      <c r="E690" s="41" t="s">
        <v>1464</v>
      </c>
      <c r="F690" s="3" t="s">
        <v>15</v>
      </c>
      <c r="G690" s="3" t="s">
        <v>1465</v>
      </c>
      <c r="H690" s="3" t="s">
        <v>1275</v>
      </c>
      <c r="I690" s="36">
        <v>25000</v>
      </c>
      <c r="J690" s="3" t="s">
        <v>10</v>
      </c>
      <c r="K690" s="72">
        <v>12</v>
      </c>
      <c r="L690" s="62"/>
      <c r="M690" s="47">
        <f t="shared" si="15"/>
        <v>0</v>
      </c>
      <c r="N690" s="45"/>
    </row>
    <row r="691" spans="2:14" x14ac:dyDescent="0.3">
      <c r="B691" s="67" t="s">
        <v>2065</v>
      </c>
      <c r="C691" s="5" t="s">
        <v>1241</v>
      </c>
      <c r="D691" s="5">
        <v>16</v>
      </c>
      <c r="E691" s="41" t="s">
        <v>1675</v>
      </c>
      <c r="F691" s="3" t="s">
        <v>15</v>
      </c>
      <c r="G691" s="3" t="s">
        <v>1463</v>
      </c>
      <c r="H691" s="3" t="s">
        <v>1275</v>
      </c>
      <c r="I691" s="36">
        <v>2000</v>
      </c>
      <c r="J691" s="3" t="s">
        <v>10</v>
      </c>
      <c r="K691" s="72">
        <v>6</v>
      </c>
      <c r="L691" s="62"/>
      <c r="M691" s="47">
        <f t="shared" si="15"/>
        <v>0</v>
      </c>
      <c r="N691" s="45"/>
    </row>
    <row r="692" spans="2:14" x14ac:dyDescent="0.3">
      <c r="B692" s="67" t="s">
        <v>2066</v>
      </c>
      <c r="C692" s="5" t="s">
        <v>1241</v>
      </c>
      <c r="D692" s="5">
        <v>16</v>
      </c>
      <c r="E692" s="41" t="s">
        <v>1686</v>
      </c>
      <c r="F692" s="3" t="s">
        <v>15</v>
      </c>
      <c r="G692" s="3" t="s">
        <v>1463</v>
      </c>
      <c r="H692" s="3" t="s">
        <v>1275</v>
      </c>
      <c r="I692" s="36">
        <v>2000</v>
      </c>
      <c r="J692" s="3" t="s">
        <v>10</v>
      </c>
      <c r="K692" s="72">
        <v>6</v>
      </c>
      <c r="L692" s="62"/>
      <c r="M692" s="47">
        <f t="shared" si="15"/>
        <v>0</v>
      </c>
      <c r="N692" s="45"/>
    </row>
    <row r="693" spans="2:14" x14ac:dyDescent="0.3">
      <c r="B693" s="67" t="s">
        <v>2067</v>
      </c>
      <c r="C693" s="5" t="s">
        <v>1241</v>
      </c>
      <c r="D693" s="5">
        <v>16</v>
      </c>
      <c r="E693" s="41" t="s">
        <v>1733</v>
      </c>
      <c r="F693" s="3" t="s">
        <v>15</v>
      </c>
      <c r="G693" s="3" t="s">
        <v>1468</v>
      </c>
      <c r="H693" s="3" t="s">
        <v>1275</v>
      </c>
      <c r="I693" s="36">
        <v>2000</v>
      </c>
      <c r="J693" s="3" t="s">
        <v>10</v>
      </c>
      <c r="K693" s="72">
        <v>6</v>
      </c>
      <c r="L693" s="62"/>
      <c r="M693" s="47">
        <f t="shared" si="15"/>
        <v>0</v>
      </c>
      <c r="N693" s="45"/>
    </row>
    <row r="694" spans="2:14" x14ac:dyDescent="0.3">
      <c r="B694" s="67" t="s">
        <v>2068</v>
      </c>
      <c r="C694" s="5" t="s">
        <v>1241</v>
      </c>
      <c r="D694" s="5">
        <v>16</v>
      </c>
      <c r="E694" s="41" t="s">
        <v>1635</v>
      </c>
      <c r="F694" s="3" t="s">
        <v>15</v>
      </c>
      <c r="G694" s="3" t="s">
        <v>1463</v>
      </c>
      <c r="H694" s="3" t="s">
        <v>1275</v>
      </c>
      <c r="I694" s="36">
        <v>8000</v>
      </c>
      <c r="J694" s="3" t="s">
        <v>10</v>
      </c>
      <c r="K694" s="72">
        <v>10</v>
      </c>
      <c r="L694" s="62"/>
      <c r="M694" s="47">
        <f t="shared" si="15"/>
        <v>0</v>
      </c>
      <c r="N694" s="45"/>
    </row>
    <row r="695" spans="2:14" x14ac:dyDescent="0.3">
      <c r="B695" s="67" t="s">
        <v>2069</v>
      </c>
      <c r="C695" s="5" t="s">
        <v>1241</v>
      </c>
      <c r="D695" s="5">
        <v>16</v>
      </c>
      <c r="E695" s="41" t="s">
        <v>1457</v>
      </c>
      <c r="F695" s="3" t="s">
        <v>15</v>
      </c>
      <c r="G695" s="3" t="s">
        <v>1458</v>
      </c>
      <c r="H695" s="3" t="s">
        <v>1275</v>
      </c>
      <c r="I695" s="3" t="s">
        <v>10</v>
      </c>
      <c r="J695" s="3" t="s">
        <v>10</v>
      </c>
      <c r="K695" s="72">
        <v>20</v>
      </c>
      <c r="L695" s="62"/>
      <c r="M695" s="47">
        <f t="shared" si="15"/>
        <v>0</v>
      </c>
      <c r="N695" s="45"/>
    </row>
    <row r="696" spans="2:14" ht="28.8" x14ac:dyDescent="0.3">
      <c r="B696" s="67" t="s">
        <v>2103</v>
      </c>
      <c r="C696" s="5" t="s">
        <v>1478</v>
      </c>
      <c r="D696" s="5">
        <v>16</v>
      </c>
      <c r="E696" s="41" t="s">
        <v>1663</v>
      </c>
      <c r="F696" s="3" t="s">
        <v>15</v>
      </c>
      <c r="G696" s="54" t="s">
        <v>1491</v>
      </c>
      <c r="H696" s="3" t="s">
        <v>1275</v>
      </c>
      <c r="I696" s="36">
        <v>25000</v>
      </c>
      <c r="J696" s="3" t="s">
        <v>11</v>
      </c>
      <c r="K696" s="72">
        <v>300</v>
      </c>
      <c r="L696" s="62"/>
      <c r="M696" s="47">
        <f t="shared" si="15"/>
        <v>0</v>
      </c>
      <c r="N696" s="45"/>
    </row>
    <row r="697" spans="2:14" x14ac:dyDescent="0.3">
      <c r="B697" s="67" t="s">
        <v>2104</v>
      </c>
      <c r="C697" s="5" t="s">
        <v>1478</v>
      </c>
      <c r="D697" s="5">
        <v>16</v>
      </c>
      <c r="E697" s="41" t="s">
        <v>1664</v>
      </c>
      <c r="F697" s="3" t="s">
        <v>15</v>
      </c>
      <c r="G697" s="3" t="s">
        <v>1492</v>
      </c>
      <c r="H697" s="3" t="s">
        <v>1275</v>
      </c>
      <c r="I697" s="36">
        <v>3000</v>
      </c>
      <c r="J697" s="3" t="s">
        <v>11</v>
      </c>
      <c r="K697" s="72">
        <v>1000</v>
      </c>
      <c r="L697" s="62"/>
      <c r="M697" s="47">
        <f t="shared" si="15"/>
        <v>0</v>
      </c>
      <c r="N697" s="45"/>
    </row>
    <row r="698" spans="2:14" x14ac:dyDescent="0.3">
      <c r="B698" s="42" t="s">
        <v>669</v>
      </c>
      <c r="C698" s="5" t="s">
        <v>285</v>
      </c>
      <c r="D698" s="5">
        <v>16</v>
      </c>
      <c r="E698" s="41" t="s">
        <v>998</v>
      </c>
      <c r="F698" s="3" t="s">
        <v>15</v>
      </c>
      <c r="G698" s="3">
        <v>44574302</v>
      </c>
      <c r="H698" s="9" t="s">
        <v>1275</v>
      </c>
      <c r="I698" s="9" t="s">
        <v>1336</v>
      </c>
      <c r="J698" s="3" t="s">
        <v>10</v>
      </c>
      <c r="K698" s="72">
        <v>50</v>
      </c>
      <c r="L698" s="62"/>
      <c r="M698" s="47">
        <f t="shared" si="15"/>
        <v>0</v>
      </c>
      <c r="N698" s="45"/>
    </row>
    <row r="699" spans="2:14" x14ac:dyDescent="0.3">
      <c r="B699" s="42" t="s">
        <v>665</v>
      </c>
      <c r="C699" s="5" t="s">
        <v>285</v>
      </c>
      <c r="D699" s="5">
        <v>16</v>
      </c>
      <c r="E699" s="41" t="s">
        <v>994</v>
      </c>
      <c r="F699" s="3" t="s">
        <v>15</v>
      </c>
      <c r="G699" s="3">
        <v>44574302</v>
      </c>
      <c r="H699" s="9" t="s">
        <v>1275</v>
      </c>
      <c r="I699" s="9" t="s">
        <v>1327</v>
      </c>
      <c r="J699" s="3" t="s">
        <v>10</v>
      </c>
      <c r="K699" s="72">
        <v>100</v>
      </c>
      <c r="L699" s="62"/>
      <c r="M699" s="47">
        <f t="shared" si="15"/>
        <v>0</v>
      </c>
      <c r="N699" s="45"/>
    </row>
    <row r="700" spans="2:14" x14ac:dyDescent="0.3">
      <c r="B700" s="42" t="s">
        <v>663</v>
      </c>
      <c r="C700" s="5" t="s">
        <v>285</v>
      </c>
      <c r="D700" s="5">
        <v>16</v>
      </c>
      <c r="E700" s="41" t="s">
        <v>992</v>
      </c>
      <c r="F700" s="3" t="s">
        <v>15</v>
      </c>
      <c r="G700" s="3">
        <v>45807111</v>
      </c>
      <c r="H700" s="9" t="s">
        <v>1275</v>
      </c>
      <c r="I700" s="9" t="s">
        <v>1324</v>
      </c>
      <c r="J700" s="3" t="s">
        <v>10</v>
      </c>
      <c r="K700" s="72">
        <v>65</v>
      </c>
      <c r="L700" s="62"/>
      <c r="M700" s="47">
        <f t="shared" si="15"/>
        <v>0</v>
      </c>
      <c r="N700" s="45"/>
    </row>
    <row r="701" spans="2:14" x14ac:dyDescent="0.3">
      <c r="B701" s="42" t="s">
        <v>658</v>
      </c>
      <c r="C701" s="5" t="s">
        <v>285</v>
      </c>
      <c r="D701" s="5">
        <v>16</v>
      </c>
      <c r="E701" s="41" t="s">
        <v>987</v>
      </c>
      <c r="F701" s="3" t="s">
        <v>15</v>
      </c>
      <c r="G701" s="3">
        <v>45807106</v>
      </c>
      <c r="H701" s="9" t="s">
        <v>1275</v>
      </c>
      <c r="I701" s="3" t="s">
        <v>1315</v>
      </c>
      <c r="J701" s="3" t="s">
        <v>10</v>
      </c>
      <c r="K701" s="72">
        <v>280</v>
      </c>
      <c r="L701" s="62"/>
      <c r="M701" s="47">
        <f t="shared" si="15"/>
        <v>0</v>
      </c>
      <c r="N701" s="45"/>
    </row>
    <row r="702" spans="2:14" x14ac:dyDescent="0.3">
      <c r="B702" s="42" t="s">
        <v>1939</v>
      </c>
      <c r="C702" s="5" t="s">
        <v>1787</v>
      </c>
      <c r="D702" s="5">
        <v>17</v>
      </c>
      <c r="E702" s="41" t="s">
        <v>1800</v>
      </c>
      <c r="F702" s="3" t="s">
        <v>727</v>
      </c>
      <c r="G702" s="3" t="s">
        <v>686</v>
      </c>
      <c r="H702" s="9" t="s">
        <v>13</v>
      </c>
      <c r="I702" s="3"/>
      <c r="J702" s="3"/>
      <c r="K702" s="72">
        <v>2</v>
      </c>
      <c r="L702" s="62"/>
      <c r="M702" s="47">
        <f t="shared" si="15"/>
        <v>0</v>
      </c>
      <c r="N702" s="45"/>
    </row>
    <row r="703" spans="2:14" x14ac:dyDescent="0.3">
      <c r="B703" s="42" t="s">
        <v>1940</v>
      </c>
      <c r="C703" s="5" t="s">
        <v>1787</v>
      </c>
      <c r="D703" s="5">
        <v>17</v>
      </c>
      <c r="E703" s="41" t="s">
        <v>1801</v>
      </c>
      <c r="F703" s="3" t="s">
        <v>727</v>
      </c>
      <c r="G703" s="3" t="s">
        <v>686</v>
      </c>
      <c r="H703" s="9" t="s">
        <v>13</v>
      </c>
      <c r="I703" s="3"/>
      <c r="J703" s="3"/>
      <c r="K703" s="72">
        <v>2</v>
      </c>
      <c r="L703" s="62"/>
      <c r="M703" s="47">
        <f t="shared" si="15"/>
        <v>0</v>
      </c>
      <c r="N703" s="45"/>
    </row>
    <row r="704" spans="2:14" x14ac:dyDescent="0.3">
      <c r="B704" s="42" t="s">
        <v>1941</v>
      </c>
      <c r="C704" s="5" t="s">
        <v>1787</v>
      </c>
      <c r="D704" s="5">
        <v>17</v>
      </c>
      <c r="E704" s="41" t="s">
        <v>1802</v>
      </c>
      <c r="F704" s="3" t="s">
        <v>727</v>
      </c>
      <c r="G704" s="3" t="s">
        <v>686</v>
      </c>
      <c r="H704" s="66" t="s">
        <v>13</v>
      </c>
      <c r="I704" s="3"/>
      <c r="J704" s="59"/>
      <c r="K704" s="72">
        <v>2</v>
      </c>
      <c r="L704" s="62"/>
      <c r="M704" s="47">
        <f t="shared" si="15"/>
        <v>0</v>
      </c>
      <c r="N704" s="45"/>
    </row>
    <row r="705" spans="2:14" x14ac:dyDescent="0.3">
      <c r="B705" s="42" t="s">
        <v>1942</v>
      </c>
      <c r="C705" s="5" t="s">
        <v>1787</v>
      </c>
      <c r="D705" s="5">
        <v>17</v>
      </c>
      <c r="E705" s="41" t="s">
        <v>1803</v>
      </c>
      <c r="F705" s="3" t="s">
        <v>727</v>
      </c>
      <c r="G705" s="3" t="s">
        <v>686</v>
      </c>
      <c r="H705" s="9" t="s">
        <v>13</v>
      </c>
      <c r="I705" s="3"/>
      <c r="J705" s="3"/>
      <c r="K705" s="72">
        <v>2</v>
      </c>
      <c r="L705" s="62"/>
      <c r="M705" s="47">
        <f t="shared" si="15"/>
        <v>0</v>
      </c>
      <c r="N705" s="45"/>
    </row>
    <row r="706" spans="2:14" x14ac:dyDescent="0.3">
      <c r="B706" s="42" t="s">
        <v>1943</v>
      </c>
      <c r="C706" s="5" t="s">
        <v>1787</v>
      </c>
      <c r="D706" s="5">
        <v>17</v>
      </c>
      <c r="E706" s="41" t="s">
        <v>1804</v>
      </c>
      <c r="F706" s="3" t="s">
        <v>727</v>
      </c>
      <c r="G706" s="3" t="s">
        <v>686</v>
      </c>
      <c r="H706" s="9" t="s">
        <v>13</v>
      </c>
      <c r="I706" s="3"/>
      <c r="J706" s="3"/>
      <c r="K706" s="72">
        <v>1</v>
      </c>
      <c r="L706" s="62"/>
      <c r="M706" s="47">
        <f t="shared" si="15"/>
        <v>0</v>
      </c>
      <c r="N706" s="45"/>
    </row>
    <row r="707" spans="2:14" x14ac:dyDescent="0.3">
      <c r="B707" s="42" t="s">
        <v>1944</v>
      </c>
      <c r="C707" s="5" t="s">
        <v>1787</v>
      </c>
      <c r="D707" s="5">
        <v>17</v>
      </c>
      <c r="E707" s="41" t="s">
        <v>1805</v>
      </c>
      <c r="F707" s="3" t="s">
        <v>727</v>
      </c>
      <c r="G707" s="3" t="s">
        <v>686</v>
      </c>
      <c r="H707" s="9" t="s">
        <v>13</v>
      </c>
      <c r="I707" s="3"/>
      <c r="J707" s="3"/>
      <c r="K707" s="72">
        <v>20</v>
      </c>
      <c r="L707" s="62"/>
      <c r="M707" s="47">
        <f t="shared" si="15"/>
        <v>0</v>
      </c>
      <c r="N707" s="45"/>
    </row>
    <row r="708" spans="2:14" x14ac:dyDescent="0.3">
      <c r="B708" s="42" t="s">
        <v>1945</v>
      </c>
      <c r="C708" s="5" t="s">
        <v>1787</v>
      </c>
      <c r="D708" s="5">
        <v>17</v>
      </c>
      <c r="E708" s="41" t="s">
        <v>1809</v>
      </c>
      <c r="F708" s="3" t="s">
        <v>727</v>
      </c>
      <c r="G708" s="3" t="s">
        <v>686</v>
      </c>
      <c r="H708" s="9" t="s">
        <v>13</v>
      </c>
      <c r="I708" s="3"/>
      <c r="J708" s="3"/>
      <c r="K708" s="72">
        <v>75</v>
      </c>
      <c r="L708" s="62"/>
      <c r="M708" s="47">
        <f t="shared" si="15"/>
        <v>0</v>
      </c>
      <c r="N708" s="45"/>
    </row>
    <row r="709" spans="2:14" x14ac:dyDescent="0.3">
      <c r="B709" s="42" t="s">
        <v>1946</v>
      </c>
      <c r="C709" s="5" t="s">
        <v>1787</v>
      </c>
      <c r="D709" s="5">
        <v>17</v>
      </c>
      <c r="E709" s="41" t="s">
        <v>1838</v>
      </c>
      <c r="F709" s="3" t="s">
        <v>727</v>
      </c>
      <c r="G709" s="3" t="s">
        <v>686</v>
      </c>
      <c r="H709" s="9" t="s">
        <v>13</v>
      </c>
      <c r="I709" s="3"/>
      <c r="J709" s="3"/>
      <c r="K709" s="72">
        <v>300</v>
      </c>
      <c r="L709" s="62"/>
      <c r="M709" s="47">
        <f t="shared" si="15"/>
        <v>0</v>
      </c>
      <c r="N709" s="45"/>
    </row>
    <row r="710" spans="2:14" x14ac:dyDescent="0.3">
      <c r="B710" s="42" t="s">
        <v>1947</v>
      </c>
      <c r="C710" s="5" t="s">
        <v>1787</v>
      </c>
      <c r="D710" s="5">
        <v>17</v>
      </c>
      <c r="E710" s="41" t="s">
        <v>1844</v>
      </c>
      <c r="F710" s="3" t="s">
        <v>727</v>
      </c>
      <c r="G710" s="3" t="s">
        <v>686</v>
      </c>
      <c r="H710" s="9" t="s">
        <v>13</v>
      </c>
      <c r="I710" s="3"/>
      <c r="J710" s="3"/>
      <c r="K710" s="72">
        <v>81</v>
      </c>
      <c r="L710" s="62"/>
      <c r="M710" s="47">
        <f t="shared" ref="M710:M757" si="16">+K710*L710</f>
        <v>0</v>
      </c>
      <c r="N710" s="45"/>
    </row>
    <row r="711" spans="2:14" x14ac:dyDescent="0.3">
      <c r="B711" s="42" t="s">
        <v>623</v>
      </c>
      <c r="C711" s="5" t="s">
        <v>234</v>
      </c>
      <c r="D711" s="5">
        <v>17</v>
      </c>
      <c r="E711" s="41" t="s">
        <v>952</v>
      </c>
      <c r="F711" s="3" t="s">
        <v>727</v>
      </c>
      <c r="G711" s="3" t="s">
        <v>278</v>
      </c>
      <c r="H711" s="9" t="s">
        <v>13</v>
      </c>
      <c r="I711" s="36">
        <v>1600</v>
      </c>
      <c r="J711" s="3" t="s">
        <v>10</v>
      </c>
      <c r="K711" s="72">
        <v>108</v>
      </c>
      <c r="L711" s="62"/>
      <c r="M711" s="47">
        <f t="shared" si="16"/>
        <v>0</v>
      </c>
      <c r="N711" s="45"/>
    </row>
    <row r="712" spans="2:14" x14ac:dyDescent="0.3">
      <c r="B712" s="42" t="s">
        <v>644</v>
      </c>
      <c r="C712" s="5" t="s">
        <v>282</v>
      </c>
      <c r="D712" s="5">
        <v>17</v>
      </c>
      <c r="E712" s="41" t="s">
        <v>973</v>
      </c>
      <c r="F712" s="3" t="s">
        <v>727</v>
      </c>
      <c r="G712" s="3" t="s">
        <v>279</v>
      </c>
      <c r="H712" s="9" t="s">
        <v>13</v>
      </c>
      <c r="I712" s="3"/>
      <c r="J712" s="3"/>
      <c r="K712" s="72">
        <v>10</v>
      </c>
      <c r="L712" s="62"/>
      <c r="M712" s="47">
        <f t="shared" si="16"/>
        <v>0</v>
      </c>
      <c r="N712" s="57">
        <v>5108639100</v>
      </c>
    </row>
    <row r="713" spans="2:14" x14ac:dyDescent="0.3">
      <c r="B713" s="42" t="s">
        <v>676</v>
      </c>
      <c r="C713" s="5" t="s">
        <v>1280</v>
      </c>
      <c r="D713" s="5">
        <v>17</v>
      </c>
      <c r="E713" s="41" t="s">
        <v>1005</v>
      </c>
      <c r="F713" s="3" t="s">
        <v>727</v>
      </c>
      <c r="G713" s="3" t="s">
        <v>1323</v>
      </c>
      <c r="H713" s="9" t="s">
        <v>13</v>
      </c>
      <c r="I713" s="3"/>
      <c r="J713" s="3" t="s">
        <v>11</v>
      </c>
      <c r="K713" s="72">
        <v>9000</v>
      </c>
      <c r="L713" s="62"/>
      <c r="M713" s="47">
        <f t="shared" si="16"/>
        <v>0</v>
      </c>
      <c r="N713" s="45"/>
    </row>
    <row r="714" spans="2:14" x14ac:dyDescent="0.3">
      <c r="B714" s="42" t="s">
        <v>679</v>
      </c>
      <c r="C714" s="5" t="s">
        <v>1280</v>
      </c>
      <c r="D714" s="5">
        <v>17</v>
      </c>
      <c r="E714" s="41" t="s">
        <v>1008</v>
      </c>
      <c r="F714" s="3" t="s">
        <v>727</v>
      </c>
      <c r="G714" s="3" t="s">
        <v>316</v>
      </c>
      <c r="H714" s="9" t="s">
        <v>13</v>
      </c>
      <c r="I714" s="3"/>
      <c r="J714" s="3" t="s">
        <v>11</v>
      </c>
      <c r="K714" s="72">
        <v>30</v>
      </c>
      <c r="L714" s="62"/>
      <c r="M714" s="47">
        <f t="shared" si="16"/>
        <v>0</v>
      </c>
      <c r="N714" s="45"/>
    </row>
    <row r="715" spans="2:14" x14ac:dyDescent="0.3">
      <c r="B715" s="42" t="s">
        <v>701</v>
      </c>
      <c r="C715" s="5" t="s">
        <v>1280</v>
      </c>
      <c r="D715" s="5">
        <v>17</v>
      </c>
      <c r="E715" s="41" t="s">
        <v>1019</v>
      </c>
      <c r="F715" s="3" t="s">
        <v>727</v>
      </c>
      <c r="G715" s="3" t="s">
        <v>319</v>
      </c>
      <c r="H715" s="9" t="s">
        <v>13</v>
      </c>
      <c r="I715" s="3"/>
      <c r="J715" s="3" t="s">
        <v>11</v>
      </c>
      <c r="K715" s="72">
        <v>20</v>
      </c>
      <c r="L715" s="62"/>
      <c r="M715" s="47">
        <f t="shared" si="16"/>
        <v>0</v>
      </c>
      <c r="N715" s="45"/>
    </row>
    <row r="716" spans="2:14" x14ac:dyDescent="0.3">
      <c r="B716" s="42" t="s">
        <v>682</v>
      </c>
      <c r="C716" s="5" t="s">
        <v>1280</v>
      </c>
      <c r="D716" s="5">
        <v>17</v>
      </c>
      <c r="E716" s="41" t="s">
        <v>1011</v>
      </c>
      <c r="F716" s="3" t="s">
        <v>727</v>
      </c>
      <c r="G716" s="3" t="s">
        <v>317</v>
      </c>
      <c r="H716" s="9" t="s">
        <v>13</v>
      </c>
      <c r="I716" s="3"/>
      <c r="J716" s="3" t="s">
        <v>11</v>
      </c>
      <c r="K716" s="72">
        <v>8</v>
      </c>
      <c r="L716" s="62"/>
      <c r="M716" s="47">
        <f t="shared" si="16"/>
        <v>0</v>
      </c>
      <c r="N716" s="45"/>
    </row>
    <row r="717" spans="2:14" x14ac:dyDescent="0.3">
      <c r="B717" s="42" t="s">
        <v>702</v>
      </c>
      <c r="C717" s="5" t="s">
        <v>1280</v>
      </c>
      <c r="D717" s="5">
        <v>17</v>
      </c>
      <c r="E717" s="41" t="s">
        <v>1020</v>
      </c>
      <c r="F717" s="3" t="s">
        <v>727</v>
      </c>
      <c r="G717" s="3" t="s">
        <v>318</v>
      </c>
      <c r="H717" s="9" t="s">
        <v>13</v>
      </c>
      <c r="I717" s="3"/>
      <c r="J717" s="3" t="s">
        <v>11</v>
      </c>
      <c r="K717" s="72">
        <v>12</v>
      </c>
      <c r="L717" s="62"/>
      <c r="M717" s="47">
        <f t="shared" si="16"/>
        <v>0</v>
      </c>
      <c r="N717" s="45"/>
    </row>
    <row r="718" spans="2:14" x14ac:dyDescent="0.3">
      <c r="B718" s="42" t="s">
        <v>498</v>
      </c>
      <c r="C718" s="5" t="s">
        <v>1108</v>
      </c>
      <c r="D718" s="5">
        <v>17</v>
      </c>
      <c r="E718" s="41" t="s">
        <v>827</v>
      </c>
      <c r="F718" s="3" t="s">
        <v>727</v>
      </c>
      <c r="G718" s="3" t="s">
        <v>216</v>
      </c>
      <c r="H718" s="9" t="s">
        <v>13</v>
      </c>
      <c r="I718" s="3"/>
      <c r="J718" s="3" t="s">
        <v>11</v>
      </c>
      <c r="K718" s="72">
        <v>68</v>
      </c>
      <c r="L718" s="62"/>
      <c r="M718" s="47">
        <f t="shared" si="16"/>
        <v>0</v>
      </c>
      <c r="N718" s="45"/>
    </row>
    <row r="719" spans="2:14" x14ac:dyDescent="0.3">
      <c r="B719" s="42" t="s">
        <v>1859</v>
      </c>
      <c r="C719" s="5" t="s">
        <v>234</v>
      </c>
      <c r="D719" s="5">
        <v>18</v>
      </c>
      <c r="E719" s="49" t="s">
        <v>1355</v>
      </c>
      <c r="F719" s="3" t="s">
        <v>1354</v>
      </c>
      <c r="G719" s="3" t="s">
        <v>1357</v>
      </c>
      <c r="H719" s="9" t="s">
        <v>13</v>
      </c>
      <c r="I719" s="3"/>
      <c r="J719" s="3"/>
      <c r="K719" s="72">
        <v>2</v>
      </c>
      <c r="L719" s="62"/>
      <c r="M719" s="47">
        <f t="shared" si="16"/>
        <v>0</v>
      </c>
      <c r="N719" s="45"/>
    </row>
    <row r="720" spans="2:14" x14ac:dyDescent="0.3">
      <c r="B720" s="42" t="s">
        <v>1860</v>
      </c>
      <c r="C720" s="5" t="s">
        <v>234</v>
      </c>
      <c r="D720" s="5">
        <v>18</v>
      </c>
      <c r="E720" s="41" t="s">
        <v>1542</v>
      </c>
      <c r="F720" s="3" t="s">
        <v>1354</v>
      </c>
      <c r="G720" s="3" t="s">
        <v>1356</v>
      </c>
      <c r="H720" s="9" t="s">
        <v>13</v>
      </c>
      <c r="I720" s="3"/>
      <c r="J720" s="3"/>
      <c r="K720" s="72">
        <v>30</v>
      </c>
      <c r="L720" s="62"/>
      <c r="M720" s="47">
        <f t="shared" si="16"/>
        <v>0</v>
      </c>
      <c r="N720" s="45"/>
    </row>
    <row r="721" spans="2:14" x14ac:dyDescent="0.3">
      <c r="B721" s="42" t="s">
        <v>625</v>
      </c>
      <c r="C721" s="5" t="s">
        <v>234</v>
      </c>
      <c r="D721" s="5">
        <v>19</v>
      </c>
      <c r="E721" s="41" t="s">
        <v>954</v>
      </c>
      <c r="F721" s="3" t="s">
        <v>17</v>
      </c>
      <c r="G721" s="3" t="s">
        <v>274</v>
      </c>
      <c r="H721" s="9" t="s">
        <v>13</v>
      </c>
      <c r="I721" s="36">
        <v>6000</v>
      </c>
      <c r="J721" s="3" t="s">
        <v>10</v>
      </c>
      <c r="K721" s="72">
        <v>3</v>
      </c>
      <c r="L721" s="62"/>
      <c r="M721" s="47">
        <f t="shared" si="16"/>
        <v>0</v>
      </c>
      <c r="N721" s="45"/>
    </row>
    <row r="722" spans="2:14" x14ac:dyDescent="0.3">
      <c r="B722" s="42" t="s">
        <v>626</v>
      </c>
      <c r="C722" s="5" t="s">
        <v>234</v>
      </c>
      <c r="D722" s="5">
        <v>19</v>
      </c>
      <c r="E722" s="41" t="s">
        <v>955</v>
      </c>
      <c r="F722" s="3" t="s">
        <v>17</v>
      </c>
      <c r="G722" s="3" t="s">
        <v>274</v>
      </c>
      <c r="H722" s="9" t="s">
        <v>13</v>
      </c>
      <c r="I722" s="36">
        <v>6000</v>
      </c>
      <c r="J722" s="3" t="s">
        <v>10</v>
      </c>
      <c r="K722" s="72">
        <v>3</v>
      </c>
      <c r="L722" s="62"/>
      <c r="M722" s="47">
        <f t="shared" si="16"/>
        <v>0</v>
      </c>
      <c r="N722" s="45"/>
    </row>
    <row r="723" spans="2:14" x14ac:dyDescent="0.3">
      <c r="B723" s="42" t="s">
        <v>627</v>
      </c>
      <c r="C723" s="5" t="s">
        <v>234</v>
      </c>
      <c r="D723" s="5">
        <v>19</v>
      </c>
      <c r="E723" s="41" t="s">
        <v>956</v>
      </c>
      <c r="F723" s="3" t="s">
        <v>17</v>
      </c>
      <c r="G723" s="3" t="s">
        <v>274</v>
      </c>
      <c r="H723" s="9" t="s">
        <v>13</v>
      </c>
      <c r="I723" s="36">
        <v>6000</v>
      </c>
      <c r="J723" s="3" t="s">
        <v>10</v>
      </c>
      <c r="K723" s="72">
        <v>3</v>
      </c>
      <c r="L723" s="62"/>
      <c r="M723" s="47">
        <f t="shared" si="16"/>
        <v>0</v>
      </c>
      <c r="N723" s="45"/>
    </row>
    <row r="724" spans="2:14" x14ac:dyDescent="0.3">
      <c r="B724" s="42" t="s">
        <v>624</v>
      </c>
      <c r="C724" s="5" t="s">
        <v>234</v>
      </c>
      <c r="D724" s="5">
        <v>19</v>
      </c>
      <c r="E724" s="41" t="s">
        <v>953</v>
      </c>
      <c r="F724" s="3" t="s">
        <v>17</v>
      </c>
      <c r="G724" s="3" t="s">
        <v>274</v>
      </c>
      <c r="H724" s="9" t="s">
        <v>13</v>
      </c>
      <c r="I724" s="46">
        <v>2800</v>
      </c>
      <c r="J724" s="3" t="s">
        <v>10</v>
      </c>
      <c r="K724" s="72">
        <v>10</v>
      </c>
      <c r="L724" s="62"/>
      <c r="M724" s="47">
        <f t="shared" si="16"/>
        <v>0</v>
      </c>
      <c r="N724" s="45"/>
    </row>
    <row r="725" spans="2:14" x14ac:dyDescent="0.3">
      <c r="B725" s="42" t="s">
        <v>2159</v>
      </c>
      <c r="C725" s="54" t="s">
        <v>1312</v>
      </c>
      <c r="D725" s="54">
        <v>20</v>
      </c>
      <c r="E725" s="50" t="s">
        <v>1715</v>
      </c>
      <c r="F725" s="54" t="s">
        <v>1499</v>
      </c>
      <c r="G725" s="54" t="s">
        <v>1500</v>
      </c>
      <c r="H725" s="54" t="s">
        <v>13</v>
      </c>
      <c r="I725" s="54" t="s">
        <v>686</v>
      </c>
      <c r="J725" s="54" t="s">
        <v>686</v>
      </c>
      <c r="K725" s="73">
        <v>4</v>
      </c>
      <c r="L725" s="65"/>
      <c r="M725" s="47">
        <f t="shared" si="16"/>
        <v>0</v>
      </c>
      <c r="N725" s="45"/>
    </row>
    <row r="726" spans="2:14" x14ac:dyDescent="0.3">
      <c r="B726" s="42" t="s">
        <v>2160</v>
      </c>
      <c r="C726" s="54" t="s">
        <v>1312</v>
      </c>
      <c r="D726" s="54">
        <v>20</v>
      </c>
      <c r="E726" s="50" t="s">
        <v>1716</v>
      </c>
      <c r="F726" s="54" t="s">
        <v>1499</v>
      </c>
      <c r="G726" s="54" t="s">
        <v>1500</v>
      </c>
      <c r="H726" s="54" t="s">
        <v>13</v>
      </c>
      <c r="I726" s="54" t="s">
        <v>686</v>
      </c>
      <c r="J726" s="54" t="s">
        <v>686</v>
      </c>
      <c r="K726" s="73">
        <v>3</v>
      </c>
      <c r="L726" s="65"/>
      <c r="M726" s="47">
        <f t="shared" si="16"/>
        <v>0</v>
      </c>
      <c r="N726" s="45"/>
    </row>
    <row r="727" spans="2:14" x14ac:dyDescent="0.3">
      <c r="B727" s="42" t="s">
        <v>2161</v>
      </c>
      <c r="C727" s="54" t="s">
        <v>1312</v>
      </c>
      <c r="D727" s="54">
        <v>20</v>
      </c>
      <c r="E727" s="50" t="s">
        <v>1717</v>
      </c>
      <c r="F727" s="54" t="s">
        <v>1499</v>
      </c>
      <c r="G727" s="54" t="s">
        <v>1500</v>
      </c>
      <c r="H727" s="54" t="s">
        <v>13</v>
      </c>
      <c r="I727" s="54" t="s">
        <v>686</v>
      </c>
      <c r="J727" s="54" t="s">
        <v>686</v>
      </c>
      <c r="K727" s="73">
        <v>3</v>
      </c>
      <c r="L727" s="65"/>
      <c r="M727" s="47">
        <f t="shared" si="16"/>
        <v>0</v>
      </c>
      <c r="N727" s="45"/>
    </row>
    <row r="728" spans="2:14" x14ac:dyDescent="0.3">
      <c r="B728" s="42" t="s">
        <v>2162</v>
      </c>
      <c r="C728" s="54" t="s">
        <v>1312</v>
      </c>
      <c r="D728" s="54">
        <v>20</v>
      </c>
      <c r="E728" s="50" t="s">
        <v>1718</v>
      </c>
      <c r="F728" s="54" t="s">
        <v>1499</v>
      </c>
      <c r="G728" s="54" t="s">
        <v>1500</v>
      </c>
      <c r="H728" s="54" t="s">
        <v>13</v>
      </c>
      <c r="I728" s="54" t="s">
        <v>686</v>
      </c>
      <c r="J728" s="54" t="s">
        <v>686</v>
      </c>
      <c r="K728" s="73">
        <v>3</v>
      </c>
      <c r="L728" s="65"/>
      <c r="M728" s="47">
        <f t="shared" si="16"/>
        <v>0</v>
      </c>
      <c r="N728" s="45"/>
    </row>
    <row r="729" spans="2:14" x14ac:dyDescent="0.3">
      <c r="B729" s="42" t="s">
        <v>2163</v>
      </c>
      <c r="C729" s="54" t="s">
        <v>1312</v>
      </c>
      <c r="D729" s="54">
        <v>21</v>
      </c>
      <c r="E729" s="50" t="s">
        <v>1668</v>
      </c>
      <c r="F729" s="54" t="s">
        <v>23</v>
      </c>
      <c r="G729" s="54" t="s">
        <v>1519</v>
      </c>
      <c r="H729" s="54" t="s">
        <v>13</v>
      </c>
      <c r="I729" s="60">
        <v>9500</v>
      </c>
      <c r="J729" s="54" t="s">
        <v>10</v>
      </c>
      <c r="K729" s="73">
        <v>16</v>
      </c>
      <c r="L729" s="65"/>
      <c r="M729" s="47">
        <f t="shared" si="16"/>
        <v>0</v>
      </c>
      <c r="N729" s="45"/>
    </row>
    <row r="730" spans="2:14" x14ac:dyDescent="0.3">
      <c r="B730" s="42" t="s">
        <v>628</v>
      </c>
      <c r="C730" s="5" t="s">
        <v>234</v>
      </c>
      <c r="D730" s="5">
        <v>21</v>
      </c>
      <c r="E730" s="41" t="s">
        <v>957</v>
      </c>
      <c r="F730" s="3" t="s">
        <v>23</v>
      </c>
      <c r="G730" s="3" t="s">
        <v>275</v>
      </c>
      <c r="H730" s="9" t="s">
        <v>13</v>
      </c>
      <c r="I730" s="36">
        <v>1500</v>
      </c>
      <c r="J730" s="3" t="s">
        <v>10</v>
      </c>
      <c r="K730" s="72">
        <v>4</v>
      </c>
      <c r="L730" s="62"/>
      <c r="M730" s="47">
        <f t="shared" si="16"/>
        <v>0</v>
      </c>
      <c r="N730" s="45"/>
    </row>
    <row r="731" spans="2:14" x14ac:dyDescent="0.3">
      <c r="B731" s="67" t="s">
        <v>1294</v>
      </c>
      <c r="C731" s="54" t="s">
        <v>1312</v>
      </c>
      <c r="D731" s="54">
        <v>22</v>
      </c>
      <c r="E731" s="52" t="s">
        <v>1309</v>
      </c>
      <c r="F731" s="54" t="s">
        <v>1310</v>
      </c>
      <c r="G731" s="54" t="s">
        <v>1311</v>
      </c>
      <c r="H731" s="54" t="s">
        <v>13</v>
      </c>
      <c r="I731" s="54" t="s">
        <v>686</v>
      </c>
      <c r="J731" s="54" t="s">
        <v>686</v>
      </c>
      <c r="K731" s="73">
        <v>10</v>
      </c>
      <c r="L731" s="65"/>
      <c r="M731" s="47">
        <f t="shared" si="16"/>
        <v>0</v>
      </c>
      <c r="N731" s="45"/>
    </row>
    <row r="732" spans="2:14" x14ac:dyDescent="0.3">
      <c r="B732" s="42" t="s">
        <v>2164</v>
      </c>
      <c r="C732" s="54" t="s">
        <v>1312</v>
      </c>
      <c r="D732" s="54">
        <v>23</v>
      </c>
      <c r="E732" s="50" t="s">
        <v>1565</v>
      </c>
      <c r="F732" s="54" t="s">
        <v>1501</v>
      </c>
      <c r="G732" s="54" t="s">
        <v>1528</v>
      </c>
      <c r="H732" s="54" t="s">
        <v>13</v>
      </c>
      <c r="I732" s="60">
        <v>100000</v>
      </c>
      <c r="J732" s="54" t="s">
        <v>686</v>
      </c>
      <c r="K732" s="73">
        <v>8</v>
      </c>
      <c r="L732" s="65"/>
      <c r="M732" s="47">
        <f t="shared" si="16"/>
        <v>0</v>
      </c>
      <c r="N732" s="45"/>
    </row>
    <row r="733" spans="2:14" x14ac:dyDescent="0.3">
      <c r="B733" s="42" t="s">
        <v>2165</v>
      </c>
      <c r="C733" s="54" t="s">
        <v>1312</v>
      </c>
      <c r="D733" s="54">
        <v>23</v>
      </c>
      <c r="E733" s="50" t="s">
        <v>1560</v>
      </c>
      <c r="F733" s="54" t="s">
        <v>1501</v>
      </c>
      <c r="G733" s="54" t="s">
        <v>1502</v>
      </c>
      <c r="H733" s="54" t="s">
        <v>13</v>
      </c>
      <c r="I733" s="60">
        <v>7000</v>
      </c>
      <c r="J733" s="54" t="s">
        <v>11</v>
      </c>
      <c r="K733" s="73">
        <v>56</v>
      </c>
      <c r="L733" s="65"/>
      <c r="M733" s="47">
        <f t="shared" si="16"/>
        <v>0</v>
      </c>
      <c r="N733" s="45"/>
    </row>
    <row r="734" spans="2:14" x14ac:dyDescent="0.3">
      <c r="B734" s="42" t="s">
        <v>2057</v>
      </c>
      <c r="C734" s="5" t="s">
        <v>1108</v>
      </c>
      <c r="D734" s="5">
        <v>24</v>
      </c>
      <c r="E734" s="41" t="s">
        <v>1730</v>
      </c>
      <c r="F734" s="3" t="s">
        <v>18</v>
      </c>
      <c r="G734" s="3" t="s">
        <v>215</v>
      </c>
      <c r="H734" s="9" t="s">
        <v>13</v>
      </c>
      <c r="I734" s="3"/>
      <c r="J734" s="3" t="s">
        <v>11</v>
      </c>
      <c r="K734" s="72">
        <v>10</v>
      </c>
      <c r="L734" s="62"/>
      <c r="M734" s="47">
        <f t="shared" si="16"/>
        <v>0</v>
      </c>
      <c r="N734" s="45"/>
    </row>
    <row r="735" spans="2:14" x14ac:dyDescent="0.3">
      <c r="B735" s="42" t="s">
        <v>506</v>
      </c>
      <c r="C735" s="5" t="s">
        <v>1108</v>
      </c>
      <c r="D735" s="5">
        <v>24</v>
      </c>
      <c r="E735" s="41" t="s">
        <v>833</v>
      </c>
      <c r="F735" s="3" t="s">
        <v>18</v>
      </c>
      <c r="G735" s="3" t="s">
        <v>215</v>
      </c>
      <c r="H735" s="9" t="s">
        <v>13</v>
      </c>
      <c r="I735" s="3"/>
      <c r="J735" s="3" t="s">
        <v>11</v>
      </c>
      <c r="K735" s="72">
        <v>10</v>
      </c>
      <c r="L735" s="62"/>
      <c r="M735" s="47">
        <f t="shared" si="16"/>
        <v>0</v>
      </c>
      <c r="N735" s="45"/>
    </row>
    <row r="736" spans="2:14" x14ac:dyDescent="0.3">
      <c r="B736" s="42" t="s">
        <v>507</v>
      </c>
      <c r="C736" s="5" t="s">
        <v>1108</v>
      </c>
      <c r="D736" s="5">
        <v>24</v>
      </c>
      <c r="E736" s="41" t="s">
        <v>834</v>
      </c>
      <c r="F736" s="3" t="s">
        <v>18</v>
      </c>
      <c r="G736" s="3" t="s">
        <v>215</v>
      </c>
      <c r="H736" s="9" t="s">
        <v>13</v>
      </c>
      <c r="I736" s="3"/>
      <c r="J736" s="3" t="s">
        <v>11</v>
      </c>
      <c r="K736" s="72">
        <v>10</v>
      </c>
      <c r="L736" s="62"/>
      <c r="M736" s="47">
        <f t="shared" si="16"/>
        <v>0</v>
      </c>
      <c r="N736" s="45"/>
    </row>
    <row r="737" spans="2:14" x14ac:dyDescent="0.3">
      <c r="B737" s="42" t="s">
        <v>508</v>
      </c>
      <c r="C737" s="5" t="s">
        <v>1108</v>
      </c>
      <c r="D737" s="5">
        <v>24</v>
      </c>
      <c r="E737" s="41" t="s">
        <v>835</v>
      </c>
      <c r="F737" s="3" t="s">
        <v>18</v>
      </c>
      <c r="G737" s="3" t="s">
        <v>215</v>
      </c>
      <c r="H737" s="9" t="s">
        <v>13</v>
      </c>
      <c r="I737" s="3"/>
      <c r="J737" s="3" t="s">
        <v>11</v>
      </c>
      <c r="K737" s="72">
        <v>17</v>
      </c>
      <c r="L737" s="62"/>
      <c r="M737" s="47">
        <f t="shared" si="16"/>
        <v>0</v>
      </c>
      <c r="N737" s="45"/>
    </row>
    <row r="738" spans="2:14" x14ac:dyDescent="0.3">
      <c r="B738" s="42" t="s">
        <v>1089</v>
      </c>
      <c r="C738" s="5" t="s">
        <v>1108</v>
      </c>
      <c r="D738" s="5">
        <v>24</v>
      </c>
      <c r="E738" s="41" t="s">
        <v>1782</v>
      </c>
      <c r="F738" s="3" t="s">
        <v>18</v>
      </c>
      <c r="G738" s="3" t="s">
        <v>688</v>
      </c>
      <c r="H738" s="9" t="s">
        <v>13</v>
      </c>
      <c r="I738" s="3"/>
      <c r="J738" s="3"/>
      <c r="K738" s="72">
        <v>3</v>
      </c>
      <c r="L738" s="62"/>
      <c r="M738" s="47">
        <f t="shared" si="16"/>
        <v>0</v>
      </c>
      <c r="N738" s="45"/>
    </row>
    <row r="739" spans="2:14" x14ac:dyDescent="0.3">
      <c r="B739" s="42" t="s">
        <v>1271</v>
      </c>
      <c r="C739" s="5" t="s">
        <v>1245</v>
      </c>
      <c r="D739" s="5">
        <v>24</v>
      </c>
      <c r="E739" s="41" t="s">
        <v>1279</v>
      </c>
      <c r="F739" s="3" t="s">
        <v>18</v>
      </c>
      <c r="G739" s="3"/>
      <c r="H739" s="9" t="s">
        <v>13</v>
      </c>
      <c r="I739" s="9"/>
      <c r="J739" s="3" t="s">
        <v>11</v>
      </c>
      <c r="K739" s="72">
        <v>200</v>
      </c>
      <c r="L739" s="62"/>
      <c r="M739" s="47">
        <f t="shared" si="16"/>
        <v>0</v>
      </c>
      <c r="N739" s="45">
        <v>522204802</v>
      </c>
    </row>
    <row r="740" spans="2:14" x14ac:dyDescent="0.3">
      <c r="B740" s="42" t="s">
        <v>1861</v>
      </c>
      <c r="C740" s="5" t="s">
        <v>234</v>
      </c>
      <c r="D740" s="5">
        <v>25</v>
      </c>
      <c r="E740" s="49" t="s">
        <v>1588</v>
      </c>
      <c r="F740" s="3" t="s">
        <v>67</v>
      </c>
      <c r="G740" s="3" t="s">
        <v>1358</v>
      </c>
      <c r="H740" s="9" t="s">
        <v>13</v>
      </c>
      <c r="I740" s="3"/>
      <c r="J740" s="3"/>
      <c r="K740" s="72">
        <v>72</v>
      </c>
      <c r="L740" s="62"/>
      <c r="M740" s="47">
        <f t="shared" si="16"/>
        <v>0</v>
      </c>
      <c r="N740" s="45"/>
    </row>
    <row r="741" spans="2:14" x14ac:dyDescent="0.3">
      <c r="B741" s="42" t="s">
        <v>1862</v>
      </c>
      <c r="C741" s="5" t="s">
        <v>234</v>
      </c>
      <c r="D741" s="5">
        <v>25</v>
      </c>
      <c r="E741" s="49" t="s">
        <v>1589</v>
      </c>
      <c r="F741" s="3" t="s">
        <v>67</v>
      </c>
      <c r="G741" s="3" t="s">
        <v>1359</v>
      </c>
      <c r="H741" s="9" t="s">
        <v>13</v>
      </c>
      <c r="I741" s="3"/>
      <c r="J741" s="3"/>
      <c r="K741" s="72">
        <v>210</v>
      </c>
      <c r="L741" s="62"/>
      <c r="M741" s="47">
        <f t="shared" si="16"/>
        <v>0</v>
      </c>
      <c r="N741" s="45"/>
    </row>
    <row r="742" spans="2:14" x14ac:dyDescent="0.3">
      <c r="B742" s="42" t="s">
        <v>1948</v>
      </c>
      <c r="C742" s="5" t="s">
        <v>1787</v>
      </c>
      <c r="D742" s="5">
        <v>25</v>
      </c>
      <c r="E742" s="41" t="s">
        <v>1788</v>
      </c>
      <c r="F742" s="3" t="s">
        <v>67</v>
      </c>
      <c r="G742" s="3" t="s">
        <v>686</v>
      </c>
      <c r="H742" s="9" t="s">
        <v>13</v>
      </c>
      <c r="I742" s="3"/>
      <c r="J742" s="3"/>
      <c r="K742" s="72">
        <v>665</v>
      </c>
      <c r="L742" s="62"/>
      <c r="M742" s="47">
        <f t="shared" si="16"/>
        <v>0</v>
      </c>
      <c r="N742" s="45"/>
    </row>
    <row r="743" spans="2:14" x14ac:dyDescent="0.3">
      <c r="B743" s="42" t="s">
        <v>1949</v>
      </c>
      <c r="C743" s="5" t="s">
        <v>1787</v>
      </c>
      <c r="D743" s="5">
        <v>25</v>
      </c>
      <c r="E743" s="41" t="s">
        <v>1789</v>
      </c>
      <c r="F743" s="3" t="s">
        <v>67</v>
      </c>
      <c r="G743" s="3" t="s">
        <v>686</v>
      </c>
      <c r="H743" s="9" t="s">
        <v>13</v>
      </c>
      <c r="I743" s="3"/>
      <c r="J743" s="3"/>
      <c r="K743" s="72">
        <v>40</v>
      </c>
      <c r="L743" s="62"/>
      <c r="M743" s="47">
        <f t="shared" si="16"/>
        <v>0</v>
      </c>
      <c r="N743" s="45"/>
    </row>
    <row r="744" spans="2:14" x14ac:dyDescent="0.3">
      <c r="B744" s="42" t="s">
        <v>1950</v>
      </c>
      <c r="C744" s="5" t="s">
        <v>1787</v>
      </c>
      <c r="D744" s="5">
        <v>25</v>
      </c>
      <c r="E744" s="41" t="s">
        <v>1791</v>
      </c>
      <c r="F744" s="3" t="s">
        <v>67</v>
      </c>
      <c r="G744" s="3" t="s">
        <v>686</v>
      </c>
      <c r="H744" s="9" t="s">
        <v>13</v>
      </c>
      <c r="I744" s="3"/>
      <c r="J744" s="3"/>
      <c r="K744" s="72">
        <v>10</v>
      </c>
      <c r="L744" s="62"/>
      <c r="M744" s="47">
        <f t="shared" si="16"/>
        <v>0</v>
      </c>
      <c r="N744" s="45"/>
    </row>
    <row r="745" spans="2:14" x14ac:dyDescent="0.3">
      <c r="B745" s="42" t="s">
        <v>1997</v>
      </c>
      <c r="C745" s="5" t="s">
        <v>1401</v>
      </c>
      <c r="D745" s="5">
        <v>25</v>
      </c>
      <c r="E745" s="41" t="s">
        <v>1736</v>
      </c>
      <c r="F745" s="3" t="s">
        <v>67</v>
      </c>
      <c r="G745" s="3" t="s">
        <v>194</v>
      </c>
      <c r="H745" s="9" t="s">
        <v>13</v>
      </c>
      <c r="I745" s="9"/>
      <c r="J745" s="9"/>
      <c r="K745" s="72">
        <v>10</v>
      </c>
      <c r="L745" s="62"/>
      <c r="M745" s="47">
        <f t="shared" si="16"/>
        <v>0</v>
      </c>
      <c r="N745" s="45"/>
    </row>
    <row r="746" spans="2:14" x14ac:dyDescent="0.3">
      <c r="B746" s="42" t="s">
        <v>1998</v>
      </c>
      <c r="C746" s="5" t="s">
        <v>1401</v>
      </c>
      <c r="D746" s="5">
        <v>25</v>
      </c>
      <c r="E746" s="41" t="s">
        <v>1726</v>
      </c>
      <c r="F746" s="9" t="s">
        <v>67</v>
      </c>
      <c r="G746" s="3" t="s">
        <v>194</v>
      </c>
      <c r="H746" s="9" t="s">
        <v>13</v>
      </c>
      <c r="I746" s="46"/>
      <c r="J746" s="9" t="s">
        <v>11</v>
      </c>
      <c r="K746" s="72">
        <v>15</v>
      </c>
      <c r="L746" s="62"/>
      <c r="M746" s="47">
        <f t="shared" si="16"/>
        <v>0</v>
      </c>
      <c r="N746" s="45"/>
    </row>
    <row r="747" spans="2:14" x14ac:dyDescent="0.3">
      <c r="B747" s="42" t="s">
        <v>1999</v>
      </c>
      <c r="C747" s="5" t="s">
        <v>1401</v>
      </c>
      <c r="D747" s="5">
        <v>25</v>
      </c>
      <c r="E747" s="41" t="s">
        <v>1737</v>
      </c>
      <c r="F747" s="3" t="s">
        <v>67</v>
      </c>
      <c r="G747" s="3" t="s">
        <v>194</v>
      </c>
      <c r="H747" s="9" t="s">
        <v>13</v>
      </c>
      <c r="I747" s="9"/>
      <c r="J747" s="9"/>
      <c r="K747" s="72">
        <v>5</v>
      </c>
      <c r="L747" s="62"/>
      <c r="M747" s="47">
        <f t="shared" si="16"/>
        <v>0</v>
      </c>
      <c r="N747" s="45"/>
    </row>
    <row r="748" spans="2:14" x14ac:dyDescent="0.3">
      <c r="B748" s="42" t="s">
        <v>2000</v>
      </c>
      <c r="C748" s="5" t="s">
        <v>1401</v>
      </c>
      <c r="D748" s="5">
        <v>25</v>
      </c>
      <c r="E748" s="41" t="s">
        <v>1738</v>
      </c>
      <c r="F748" s="3" t="s">
        <v>67</v>
      </c>
      <c r="G748" s="3" t="s">
        <v>194</v>
      </c>
      <c r="H748" s="9" t="s">
        <v>13</v>
      </c>
      <c r="I748" s="9"/>
      <c r="J748" s="9"/>
      <c r="K748" s="72">
        <v>10</v>
      </c>
      <c r="L748" s="62"/>
      <c r="M748" s="47">
        <f t="shared" si="16"/>
        <v>0</v>
      </c>
      <c r="N748" s="45"/>
    </row>
    <row r="749" spans="2:14" x14ac:dyDescent="0.3">
      <c r="B749" s="42" t="s">
        <v>2001</v>
      </c>
      <c r="C749" s="5" t="s">
        <v>1401</v>
      </c>
      <c r="D749" s="5">
        <v>25</v>
      </c>
      <c r="E749" s="41" t="s">
        <v>1618</v>
      </c>
      <c r="F749" s="3" t="s">
        <v>67</v>
      </c>
      <c r="G749" s="3" t="s">
        <v>1406</v>
      </c>
      <c r="H749" s="9" t="s">
        <v>13</v>
      </c>
      <c r="I749" s="9"/>
      <c r="J749" s="9"/>
      <c r="K749" s="72">
        <v>8</v>
      </c>
      <c r="L749" s="62"/>
      <c r="M749" s="47">
        <f t="shared" si="16"/>
        <v>0</v>
      </c>
      <c r="N749" s="45"/>
    </row>
    <row r="750" spans="2:14" x14ac:dyDescent="0.3">
      <c r="B750" s="42" t="s">
        <v>2002</v>
      </c>
      <c r="C750" s="5" t="s">
        <v>1401</v>
      </c>
      <c r="D750" s="5">
        <v>25</v>
      </c>
      <c r="E750" s="41" t="s">
        <v>1619</v>
      </c>
      <c r="F750" s="3" t="s">
        <v>67</v>
      </c>
      <c r="G750" s="3" t="s">
        <v>1407</v>
      </c>
      <c r="H750" s="9" t="s">
        <v>13</v>
      </c>
      <c r="I750" s="9"/>
      <c r="J750" s="9"/>
      <c r="K750" s="72">
        <v>8</v>
      </c>
      <c r="L750" s="62"/>
      <c r="M750" s="47">
        <f t="shared" si="16"/>
        <v>0</v>
      </c>
      <c r="N750" s="45"/>
    </row>
    <row r="751" spans="2:14" ht="28.8" x14ac:dyDescent="0.3">
      <c r="B751" s="67" t="s">
        <v>2089</v>
      </c>
      <c r="C751" s="5" t="s">
        <v>1241</v>
      </c>
      <c r="D751" s="5">
        <v>25</v>
      </c>
      <c r="E751" s="41" t="s">
        <v>1725</v>
      </c>
      <c r="F751" s="3" t="s">
        <v>67</v>
      </c>
      <c r="G751" s="54" t="s">
        <v>1474</v>
      </c>
      <c r="H751" s="9" t="s">
        <v>13</v>
      </c>
      <c r="I751" s="54" t="s">
        <v>686</v>
      </c>
      <c r="J751" s="3" t="s">
        <v>11</v>
      </c>
      <c r="K751" s="72">
        <v>300</v>
      </c>
      <c r="L751" s="62"/>
      <c r="M751" s="47">
        <f t="shared" si="16"/>
        <v>0</v>
      </c>
      <c r="N751" s="45" t="s">
        <v>1477</v>
      </c>
    </row>
    <row r="752" spans="2:14" ht="28.8" x14ac:dyDescent="0.3">
      <c r="B752" s="67" t="s">
        <v>2090</v>
      </c>
      <c r="C752" s="5" t="s">
        <v>1241</v>
      </c>
      <c r="D752" s="5">
        <v>25</v>
      </c>
      <c r="E752" s="41" t="s">
        <v>1551</v>
      </c>
      <c r="F752" s="3" t="s">
        <v>67</v>
      </c>
      <c r="G752" s="54" t="s">
        <v>1475</v>
      </c>
      <c r="H752" s="9" t="s">
        <v>13</v>
      </c>
      <c r="I752" s="54" t="s">
        <v>686</v>
      </c>
      <c r="J752" s="3" t="s">
        <v>11</v>
      </c>
      <c r="K752" s="72">
        <v>48</v>
      </c>
      <c r="L752" s="62"/>
      <c r="M752" s="47">
        <f t="shared" si="16"/>
        <v>0</v>
      </c>
      <c r="N752" s="45"/>
    </row>
    <row r="753" spans="2:14" x14ac:dyDescent="0.3">
      <c r="B753" s="42" t="s">
        <v>2166</v>
      </c>
      <c r="C753" s="54" t="s">
        <v>1312</v>
      </c>
      <c r="D753" s="54">
        <v>25</v>
      </c>
      <c r="E753" s="50" t="s">
        <v>1727</v>
      </c>
      <c r="F753" s="54" t="s">
        <v>67</v>
      </c>
      <c r="G753" s="54" t="s">
        <v>1529</v>
      </c>
      <c r="H753" s="54" t="s">
        <v>13</v>
      </c>
      <c r="I753" s="54" t="s">
        <v>686</v>
      </c>
      <c r="J753" s="54" t="s">
        <v>686</v>
      </c>
      <c r="K753" s="73">
        <v>73</v>
      </c>
      <c r="L753" s="65"/>
      <c r="M753" s="47">
        <f t="shared" si="16"/>
        <v>0</v>
      </c>
      <c r="N753" s="45"/>
    </row>
    <row r="754" spans="2:14" x14ac:dyDescent="0.3">
      <c r="B754" s="42" t="s">
        <v>2167</v>
      </c>
      <c r="C754" s="54" t="s">
        <v>1312</v>
      </c>
      <c r="D754" s="54">
        <v>25</v>
      </c>
      <c r="E754" s="50" t="s">
        <v>1572</v>
      </c>
      <c r="F754" s="54" t="s">
        <v>67</v>
      </c>
      <c r="G754" s="54" t="s">
        <v>1529</v>
      </c>
      <c r="H754" s="54" t="s">
        <v>13</v>
      </c>
      <c r="I754" s="54" t="s">
        <v>686</v>
      </c>
      <c r="J754" s="54" t="s">
        <v>686</v>
      </c>
      <c r="K754" s="73">
        <v>245</v>
      </c>
      <c r="L754" s="65"/>
      <c r="M754" s="47">
        <f t="shared" si="16"/>
        <v>0</v>
      </c>
      <c r="N754" s="45"/>
    </row>
    <row r="755" spans="2:14" x14ac:dyDescent="0.3">
      <c r="B755" s="42" t="s">
        <v>629</v>
      </c>
      <c r="C755" s="5" t="s">
        <v>234</v>
      </c>
      <c r="D755" s="5">
        <v>25</v>
      </c>
      <c r="E755" s="41" t="s">
        <v>958</v>
      </c>
      <c r="F755" s="3" t="s">
        <v>67</v>
      </c>
      <c r="G755" s="3" t="s">
        <v>277</v>
      </c>
      <c r="H755" s="9" t="s">
        <v>247</v>
      </c>
      <c r="I755" s="9">
        <v>500</v>
      </c>
      <c r="J755" s="3" t="s">
        <v>10</v>
      </c>
      <c r="K755" s="72">
        <v>216</v>
      </c>
      <c r="L755" s="62"/>
      <c r="M755" s="47">
        <f t="shared" si="16"/>
        <v>0</v>
      </c>
      <c r="N755" s="45"/>
    </row>
    <row r="756" spans="2:14" x14ac:dyDescent="0.3">
      <c r="B756" s="42" t="s">
        <v>630</v>
      </c>
      <c r="C756" s="5" t="s">
        <v>234</v>
      </c>
      <c r="D756" s="5">
        <v>25</v>
      </c>
      <c r="E756" s="41" t="s">
        <v>959</v>
      </c>
      <c r="F756" s="3" t="s">
        <v>67</v>
      </c>
      <c r="G756" s="3" t="s">
        <v>276</v>
      </c>
      <c r="H756" s="9" t="s">
        <v>13</v>
      </c>
      <c r="I756" s="36">
        <v>1000</v>
      </c>
      <c r="J756" s="3" t="s">
        <v>10</v>
      </c>
      <c r="K756" s="72">
        <v>72</v>
      </c>
      <c r="L756" s="62"/>
      <c r="M756" s="47">
        <f t="shared" si="16"/>
        <v>0</v>
      </c>
      <c r="N756" s="45"/>
    </row>
    <row r="757" spans="2:14" x14ac:dyDescent="0.3">
      <c r="B757" s="67" t="s">
        <v>404</v>
      </c>
      <c r="C757" s="54" t="s">
        <v>1312</v>
      </c>
      <c r="D757" s="54">
        <v>25</v>
      </c>
      <c r="E757" s="52" t="s">
        <v>803</v>
      </c>
      <c r="F757" s="54" t="s">
        <v>67</v>
      </c>
      <c r="G757" s="54" t="s">
        <v>68</v>
      </c>
      <c r="H757" s="54" t="s">
        <v>13</v>
      </c>
      <c r="I757" s="54">
        <v>250</v>
      </c>
      <c r="J757" s="54" t="s">
        <v>11</v>
      </c>
      <c r="K757" s="73">
        <v>2</v>
      </c>
      <c r="L757" s="65"/>
      <c r="M757" s="47">
        <f t="shared" si="16"/>
        <v>0</v>
      </c>
      <c r="N757" s="45"/>
    </row>
    <row r="758" spans="2:14" x14ac:dyDescent="0.3">
      <c r="B758" s="39"/>
      <c r="E758" s="40"/>
      <c r="K758" s="34"/>
      <c r="M758" s="33"/>
    </row>
    <row r="759" spans="2:14" x14ac:dyDescent="0.3">
      <c r="B759" s="39"/>
      <c r="E759" s="40"/>
      <c r="K759" s="34"/>
      <c r="M759" s="33"/>
    </row>
    <row r="760" spans="2:14" x14ac:dyDescent="0.3">
      <c r="B760" s="39"/>
      <c r="E760" s="40"/>
      <c r="K760" s="34"/>
      <c r="M760" s="33"/>
    </row>
    <row r="761" spans="2:14" x14ac:dyDescent="0.3">
      <c r="B761" s="39"/>
      <c r="E761" s="40"/>
      <c r="K761" s="34"/>
      <c r="M761" s="33"/>
    </row>
    <row r="762" spans="2:14" x14ac:dyDescent="0.3">
      <c r="B762" s="39"/>
      <c r="E762" s="40"/>
      <c r="K762" s="34"/>
      <c r="M762" s="33"/>
    </row>
    <row r="763" spans="2:14" x14ac:dyDescent="0.3">
      <c r="B763" s="39"/>
      <c r="E763" s="40"/>
      <c r="K763" s="34"/>
      <c r="M763" s="33"/>
    </row>
    <row r="764" spans="2:14" x14ac:dyDescent="0.3">
      <c r="B764" s="39"/>
      <c r="E764" s="40"/>
      <c r="K764" s="34"/>
      <c r="M764" s="33"/>
    </row>
    <row r="765" spans="2:14" x14ac:dyDescent="0.3">
      <c r="B765" s="39"/>
      <c r="E765" s="40"/>
      <c r="K765" s="34"/>
      <c r="M765" s="33"/>
    </row>
    <row r="766" spans="2:14" x14ac:dyDescent="0.3">
      <c r="B766" s="39"/>
      <c r="E766" s="40"/>
      <c r="K766" s="34"/>
      <c r="M766" s="33"/>
    </row>
    <row r="767" spans="2:14" x14ac:dyDescent="0.3">
      <c r="B767" s="39"/>
      <c r="E767" s="40"/>
      <c r="K767" s="34"/>
      <c r="M767" s="33"/>
    </row>
    <row r="768" spans="2:14" x14ac:dyDescent="0.3">
      <c r="B768" s="39"/>
      <c r="E768" s="40"/>
      <c r="K768" s="34"/>
      <c r="M768" s="33"/>
    </row>
    <row r="769" spans="2:13" x14ac:dyDescent="0.3">
      <c r="B769" s="39"/>
      <c r="E769" s="40"/>
      <c r="K769" s="34"/>
      <c r="M769" s="33"/>
    </row>
    <row r="770" spans="2:13" x14ac:dyDescent="0.3">
      <c r="B770" s="39"/>
      <c r="E770" s="40"/>
      <c r="K770" s="34"/>
      <c r="M770" s="33"/>
    </row>
    <row r="771" spans="2:13" x14ac:dyDescent="0.3">
      <c r="B771" s="39"/>
      <c r="E771" s="40"/>
      <c r="K771" s="34"/>
      <c r="M771" s="33"/>
    </row>
    <row r="772" spans="2:13" x14ac:dyDescent="0.3">
      <c r="B772" s="39"/>
      <c r="E772" s="40"/>
      <c r="K772" s="34"/>
      <c r="M772" s="33"/>
    </row>
    <row r="773" spans="2:13" x14ac:dyDescent="0.3">
      <c r="B773" s="39"/>
      <c r="E773" s="40"/>
      <c r="K773" s="34"/>
      <c r="M773" s="33"/>
    </row>
    <row r="774" spans="2:13" x14ac:dyDescent="0.3">
      <c r="B774" s="39"/>
      <c r="E774" s="40"/>
      <c r="K774" s="34"/>
      <c r="M774" s="33"/>
    </row>
    <row r="775" spans="2:13" x14ac:dyDescent="0.3">
      <c r="B775" s="39"/>
      <c r="E775" s="40"/>
      <c r="K775" s="34"/>
      <c r="M775" s="33"/>
    </row>
    <row r="776" spans="2:13" x14ac:dyDescent="0.3">
      <c r="B776" s="39"/>
      <c r="E776" s="40"/>
      <c r="K776" s="34"/>
      <c r="M776" s="33"/>
    </row>
    <row r="777" spans="2:13" x14ac:dyDescent="0.3">
      <c r="B777" s="39"/>
      <c r="E777" s="40"/>
      <c r="K777" s="34"/>
      <c r="M777" s="33"/>
    </row>
    <row r="778" spans="2:13" x14ac:dyDescent="0.3">
      <c r="B778" s="39"/>
      <c r="E778" s="40"/>
      <c r="K778" s="34"/>
      <c r="M778" s="33"/>
    </row>
    <row r="779" spans="2:13" x14ac:dyDescent="0.3">
      <c r="B779" s="39"/>
      <c r="E779" s="40"/>
      <c r="K779" s="34"/>
      <c r="M779" s="33"/>
    </row>
    <row r="780" spans="2:13" x14ac:dyDescent="0.3">
      <c r="B780" s="39"/>
      <c r="E780" s="40"/>
      <c r="K780" s="34"/>
      <c r="M780" s="33"/>
    </row>
    <row r="781" spans="2:13" x14ac:dyDescent="0.3">
      <c r="B781" s="39"/>
      <c r="E781" s="40"/>
      <c r="K781" s="34"/>
      <c r="M781" s="33"/>
    </row>
    <row r="782" spans="2:13" x14ac:dyDescent="0.3">
      <c r="B782" s="39"/>
      <c r="E782" s="40"/>
      <c r="K782" s="34"/>
      <c r="M782" s="33"/>
    </row>
    <row r="783" spans="2:13" x14ac:dyDescent="0.3">
      <c r="B783" s="39"/>
      <c r="E783" s="40"/>
      <c r="K783" s="34"/>
      <c r="M783" s="33"/>
    </row>
    <row r="784" spans="2:13" x14ac:dyDescent="0.3">
      <c r="B784" s="39"/>
      <c r="E784" s="40"/>
      <c r="K784" s="34"/>
      <c r="M784" s="33"/>
    </row>
    <row r="785" spans="2:13" x14ac:dyDescent="0.3">
      <c r="B785" s="39"/>
      <c r="E785" s="40"/>
      <c r="K785" s="34"/>
      <c r="M785" s="33"/>
    </row>
    <row r="786" spans="2:13" x14ac:dyDescent="0.3">
      <c r="B786" s="39"/>
      <c r="E786" s="40"/>
      <c r="K786" s="34"/>
      <c r="M786" s="33"/>
    </row>
    <row r="787" spans="2:13" x14ac:dyDescent="0.3">
      <c r="B787" s="39"/>
      <c r="E787" s="40"/>
      <c r="K787" s="34"/>
      <c r="M787" s="33"/>
    </row>
    <row r="788" spans="2:13" x14ac:dyDescent="0.3">
      <c r="B788" s="39"/>
      <c r="E788" s="40"/>
      <c r="K788" s="34"/>
      <c r="M788" s="33"/>
    </row>
    <row r="789" spans="2:13" x14ac:dyDescent="0.3">
      <c r="B789" s="39"/>
      <c r="E789" s="40"/>
      <c r="K789" s="34"/>
      <c r="M789" s="33"/>
    </row>
    <row r="790" spans="2:13" x14ac:dyDescent="0.3">
      <c r="B790" s="39"/>
      <c r="E790" s="40"/>
      <c r="K790" s="34"/>
      <c r="M790" s="33"/>
    </row>
    <row r="791" spans="2:13" x14ac:dyDescent="0.3">
      <c r="B791" s="39"/>
      <c r="E791" s="40"/>
      <c r="K791" s="34"/>
      <c r="M791" s="33"/>
    </row>
    <row r="792" spans="2:13" x14ac:dyDescent="0.3">
      <c r="B792" s="39"/>
      <c r="E792" s="40"/>
      <c r="K792" s="34"/>
      <c r="M792" s="33"/>
    </row>
    <row r="793" spans="2:13" x14ac:dyDescent="0.3">
      <c r="B793" s="39"/>
      <c r="E793" s="40"/>
      <c r="K793" s="34"/>
      <c r="M793" s="33"/>
    </row>
    <row r="794" spans="2:13" x14ac:dyDescent="0.3">
      <c r="B794" s="39"/>
      <c r="E794" s="40"/>
      <c r="K794" s="34"/>
      <c r="M794" s="33"/>
    </row>
    <row r="795" spans="2:13" x14ac:dyDescent="0.3">
      <c r="B795" s="39"/>
      <c r="E795" s="40"/>
      <c r="K795" s="34"/>
      <c r="M795" s="33"/>
    </row>
    <row r="796" spans="2:13" x14ac:dyDescent="0.3">
      <c r="B796" s="39"/>
      <c r="E796" s="40"/>
      <c r="K796" s="34"/>
      <c r="M796" s="33"/>
    </row>
    <row r="797" spans="2:13" x14ac:dyDescent="0.3">
      <c r="B797" s="39"/>
      <c r="E797" s="40"/>
      <c r="K797" s="34"/>
      <c r="M797" s="33"/>
    </row>
    <row r="798" spans="2:13" x14ac:dyDescent="0.3">
      <c r="B798" s="39"/>
      <c r="E798" s="40"/>
      <c r="K798" s="34"/>
      <c r="M798" s="33"/>
    </row>
    <row r="799" spans="2:13" x14ac:dyDescent="0.3">
      <c r="B799" s="39"/>
      <c r="E799" s="40"/>
      <c r="K799" s="34"/>
      <c r="M799" s="33"/>
    </row>
    <row r="800" spans="2:13" x14ac:dyDescent="0.3">
      <c r="B800" s="39"/>
      <c r="E800" s="40"/>
      <c r="K800" s="34"/>
      <c r="M800" s="33"/>
    </row>
    <row r="801" spans="2:13" x14ac:dyDescent="0.3">
      <c r="B801" s="39"/>
      <c r="E801" s="40"/>
      <c r="K801" s="34"/>
      <c r="M801" s="33"/>
    </row>
    <row r="802" spans="2:13" x14ac:dyDescent="0.3">
      <c r="B802" s="39"/>
      <c r="E802" s="40"/>
      <c r="K802" s="34"/>
      <c r="M802" s="33"/>
    </row>
    <row r="803" spans="2:13" x14ac:dyDescent="0.3">
      <c r="B803" s="39"/>
      <c r="E803" s="40"/>
      <c r="K803" s="34"/>
      <c r="M803" s="33"/>
    </row>
    <row r="804" spans="2:13" x14ac:dyDescent="0.3">
      <c r="B804" s="39"/>
      <c r="E804" s="40"/>
      <c r="K804" s="34"/>
      <c r="M804" s="33"/>
    </row>
    <row r="805" spans="2:13" x14ac:dyDescent="0.3">
      <c r="B805" s="39"/>
      <c r="E805" s="40"/>
      <c r="K805" s="34"/>
      <c r="M805" s="33"/>
    </row>
    <row r="806" spans="2:13" x14ac:dyDescent="0.3">
      <c r="B806" s="39"/>
      <c r="E806" s="40"/>
      <c r="K806" s="34"/>
      <c r="M806" s="33"/>
    </row>
    <row r="807" spans="2:13" x14ac:dyDescent="0.3">
      <c r="B807" s="39"/>
      <c r="E807" s="40"/>
      <c r="K807" s="34"/>
      <c r="M807" s="33"/>
    </row>
    <row r="808" spans="2:13" x14ac:dyDescent="0.3">
      <c r="B808" s="39"/>
      <c r="E808" s="40"/>
      <c r="K808" s="34"/>
      <c r="M808" s="33"/>
    </row>
    <row r="809" spans="2:13" x14ac:dyDescent="0.3">
      <c r="B809" s="39"/>
      <c r="E809" s="40"/>
      <c r="K809" s="34"/>
      <c r="M809" s="33"/>
    </row>
    <row r="810" spans="2:13" x14ac:dyDescent="0.3">
      <c r="B810" s="39"/>
      <c r="E810" s="40"/>
      <c r="K810" s="34"/>
      <c r="M810" s="33"/>
    </row>
    <row r="811" spans="2:13" x14ac:dyDescent="0.3">
      <c r="B811" s="39"/>
      <c r="E811" s="40"/>
      <c r="K811" s="34"/>
      <c r="M811" s="33"/>
    </row>
    <row r="812" spans="2:13" x14ac:dyDescent="0.3">
      <c r="B812" s="39"/>
      <c r="E812" s="40"/>
      <c r="K812" s="34"/>
      <c r="M812" s="33"/>
    </row>
    <row r="813" spans="2:13" x14ac:dyDescent="0.3">
      <c r="B813" s="39"/>
      <c r="E813" s="40"/>
      <c r="K813" s="34"/>
      <c r="M813" s="33"/>
    </row>
    <row r="814" spans="2:13" x14ac:dyDescent="0.3">
      <c r="B814" s="39"/>
      <c r="E814" s="40"/>
      <c r="K814" s="34"/>
      <c r="M814" s="33"/>
    </row>
    <row r="815" spans="2:13" x14ac:dyDescent="0.3">
      <c r="B815" s="39"/>
      <c r="E815" s="40"/>
      <c r="K815" s="34"/>
      <c r="M815" s="33"/>
    </row>
    <row r="816" spans="2:13" x14ac:dyDescent="0.3">
      <c r="B816" s="39"/>
      <c r="E816" s="40"/>
      <c r="K816" s="34"/>
      <c r="M816" s="33"/>
    </row>
    <row r="817" spans="2:13" x14ac:dyDescent="0.3">
      <c r="B817" s="39"/>
      <c r="E817" s="40"/>
      <c r="K817" s="34"/>
      <c r="M817" s="33"/>
    </row>
    <row r="818" spans="2:13" x14ac:dyDescent="0.3">
      <c r="B818" s="39"/>
      <c r="E818" s="40"/>
      <c r="K818" s="34"/>
      <c r="M818" s="33"/>
    </row>
    <row r="819" spans="2:13" x14ac:dyDescent="0.3">
      <c r="B819" s="39"/>
      <c r="E819" s="40"/>
      <c r="K819" s="34"/>
      <c r="M819" s="33"/>
    </row>
    <row r="820" spans="2:13" x14ac:dyDescent="0.3">
      <c r="B820" s="39"/>
      <c r="E820" s="40"/>
      <c r="K820" s="34"/>
      <c r="M820" s="33"/>
    </row>
    <row r="821" spans="2:13" x14ac:dyDescent="0.3">
      <c r="B821" s="39"/>
      <c r="E821" s="40"/>
      <c r="K821" s="34"/>
      <c r="M821" s="33"/>
    </row>
    <row r="822" spans="2:13" x14ac:dyDescent="0.3">
      <c r="B822" s="39"/>
      <c r="E822" s="40"/>
      <c r="K822" s="34"/>
      <c r="M822" s="33"/>
    </row>
    <row r="823" spans="2:13" x14ac:dyDescent="0.3">
      <c r="B823" s="39"/>
      <c r="E823" s="40"/>
      <c r="K823" s="34"/>
      <c r="M823" s="33"/>
    </row>
    <row r="824" spans="2:13" x14ac:dyDescent="0.3">
      <c r="B824" s="39"/>
      <c r="E824" s="40"/>
      <c r="K824" s="34"/>
      <c r="M824" s="33"/>
    </row>
    <row r="825" spans="2:13" x14ac:dyDescent="0.3">
      <c r="B825" s="39"/>
      <c r="E825" s="40"/>
      <c r="K825" s="34"/>
      <c r="M825" s="33"/>
    </row>
    <row r="826" spans="2:13" x14ac:dyDescent="0.3">
      <c r="B826" s="39"/>
      <c r="E826" s="40"/>
      <c r="K826" s="34"/>
      <c r="M826" s="33"/>
    </row>
    <row r="827" spans="2:13" x14ac:dyDescent="0.3">
      <c r="B827" s="39"/>
      <c r="E827" s="40"/>
      <c r="K827" s="34"/>
      <c r="M827" s="33"/>
    </row>
    <row r="828" spans="2:13" x14ac:dyDescent="0.3">
      <c r="B828" s="39"/>
      <c r="E828" s="40"/>
      <c r="K828" s="34"/>
      <c r="M828" s="33"/>
    </row>
    <row r="829" spans="2:13" x14ac:dyDescent="0.3">
      <c r="B829" s="39"/>
      <c r="E829" s="40"/>
      <c r="K829" s="34"/>
      <c r="M829" s="33"/>
    </row>
    <row r="830" spans="2:13" x14ac:dyDescent="0.3">
      <c r="B830" s="39"/>
      <c r="E830" s="40"/>
      <c r="K830" s="34"/>
      <c r="M830" s="33"/>
    </row>
    <row r="831" spans="2:13" x14ac:dyDescent="0.3">
      <c r="B831" s="39"/>
      <c r="E831" s="40"/>
      <c r="K831" s="34"/>
      <c r="M831" s="33"/>
    </row>
    <row r="832" spans="2:13" x14ac:dyDescent="0.3">
      <c r="B832" s="39"/>
      <c r="E832" s="40"/>
      <c r="K832" s="34"/>
      <c r="M832" s="33"/>
    </row>
    <row r="833" spans="2:13" x14ac:dyDescent="0.3">
      <c r="B833" s="39"/>
      <c r="E833" s="40"/>
      <c r="K833" s="34"/>
      <c r="M833" s="33"/>
    </row>
    <row r="834" spans="2:13" x14ac:dyDescent="0.3">
      <c r="B834" s="39"/>
      <c r="E834" s="40"/>
      <c r="K834" s="34"/>
      <c r="M834" s="33"/>
    </row>
    <row r="835" spans="2:13" x14ac:dyDescent="0.3">
      <c r="B835" s="39"/>
      <c r="E835" s="40"/>
      <c r="K835" s="34"/>
      <c r="M835" s="33"/>
    </row>
    <row r="836" spans="2:13" x14ac:dyDescent="0.3">
      <c r="B836" s="39"/>
      <c r="E836" s="40"/>
      <c r="K836" s="34"/>
      <c r="M836" s="33"/>
    </row>
    <row r="837" spans="2:13" x14ac:dyDescent="0.3">
      <c r="B837" s="39"/>
      <c r="E837" s="40"/>
      <c r="K837" s="34"/>
      <c r="M837" s="33"/>
    </row>
    <row r="838" spans="2:13" x14ac:dyDescent="0.3">
      <c r="B838" s="39"/>
      <c r="E838" s="40"/>
      <c r="K838" s="34"/>
      <c r="M838" s="33"/>
    </row>
    <row r="839" spans="2:13" x14ac:dyDescent="0.3">
      <c r="B839" s="39"/>
      <c r="E839" s="40"/>
      <c r="K839" s="34"/>
      <c r="M839" s="33"/>
    </row>
    <row r="840" spans="2:13" x14ac:dyDescent="0.3">
      <c r="B840" s="39"/>
      <c r="E840" s="40"/>
      <c r="K840" s="34"/>
      <c r="M840" s="33"/>
    </row>
    <row r="841" spans="2:13" x14ac:dyDescent="0.3">
      <c r="B841" s="39"/>
      <c r="E841" s="40"/>
      <c r="K841" s="34"/>
      <c r="M841" s="33"/>
    </row>
    <row r="842" spans="2:13" x14ac:dyDescent="0.3">
      <c r="B842" s="39"/>
      <c r="E842" s="40"/>
      <c r="K842" s="34"/>
      <c r="M842" s="33"/>
    </row>
    <row r="843" spans="2:13" x14ac:dyDescent="0.3">
      <c r="B843" s="39"/>
      <c r="E843" s="40"/>
      <c r="K843" s="34"/>
      <c r="M843" s="33"/>
    </row>
    <row r="844" spans="2:13" x14ac:dyDescent="0.3">
      <c r="B844" s="39"/>
      <c r="E844" s="40"/>
      <c r="K844" s="34"/>
      <c r="M844" s="33"/>
    </row>
    <row r="845" spans="2:13" x14ac:dyDescent="0.3">
      <c r="B845" s="39"/>
      <c r="E845" s="40"/>
      <c r="K845" s="34"/>
      <c r="M845" s="33"/>
    </row>
    <row r="846" spans="2:13" x14ac:dyDescent="0.3">
      <c r="B846" s="39"/>
      <c r="E846" s="40"/>
      <c r="K846" s="34"/>
      <c r="M846" s="33"/>
    </row>
    <row r="847" spans="2:13" x14ac:dyDescent="0.3">
      <c r="B847" s="39"/>
      <c r="E847" s="40"/>
      <c r="K847" s="34"/>
      <c r="M847" s="33"/>
    </row>
    <row r="848" spans="2:13" x14ac:dyDescent="0.3">
      <c r="B848" s="39"/>
      <c r="E848" s="40"/>
      <c r="K848" s="34"/>
      <c r="M848" s="33"/>
    </row>
    <row r="849" spans="2:13" x14ac:dyDescent="0.3">
      <c r="B849" s="39"/>
      <c r="E849" s="40"/>
      <c r="K849" s="34"/>
      <c r="M849" s="33"/>
    </row>
    <row r="850" spans="2:13" x14ac:dyDescent="0.3">
      <c r="B850" s="39"/>
      <c r="E850" s="40"/>
      <c r="K850" s="34"/>
      <c r="M850" s="33"/>
    </row>
    <row r="851" spans="2:13" x14ac:dyDescent="0.3">
      <c r="B851" s="39"/>
      <c r="E851" s="40"/>
      <c r="K851" s="34"/>
      <c r="M851" s="33"/>
    </row>
    <row r="852" spans="2:13" x14ac:dyDescent="0.3">
      <c r="B852" s="39"/>
      <c r="E852" s="40"/>
      <c r="K852" s="34"/>
      <c r="M852" s="33"/>
    </row>
    <row r="853" spans="2:13" x14ac:dyDescent="0.3">
      <c r="B853" s="39"/>
      <c r="E853" s="40"/>
      <c r="K853" s="34"/>
      <c r="M853" s="33"/>
    </row>
    <row r="854" spans="2:13" x14ac:dyDescent="0.3">
      <c r="B854" s="39"/>
      <c r="E854" s="40"/>
      <c r="K854" s="34"/>
      <c r="M854" s="33"/>
    </row>
    <row r="855" spans="2:13" x14ac:dyDescent="0.3">
      <c r="B855" s="39"/>
      <c r="E855" s="40"/>
      <c r="K855" s="34"/>
      <c r="M855" s="33"/>
    </row>
    <row r="856" spans="2:13" x14ac:dyDescent="0.3">
      <c r="B856" s="39"/>
      <c r="E856" s="40"/>
      <c r="K856" s="34"/>
      <c r="M856" s="33"/>
    </row>
    <row r="857" spans="2:13" x14ac:dyDescent="0.3">
      <c r="B857" s="39"/>
      <c r="E857" s="40"/>
      <c r="K857" s="34"/>
      <c r="M857" s="33"/>
    </row>
    <row r="858" spans="2:13" x14ac:dyDescent="0.3">
      <c r="B858" s="39"/>
      <c r="E858" s="40"/>
      <c r="K858" s="34"/>
      <c r="M858" s="33"/>
    </row>
    <row r="859" spans="2:13" x14ac:dyDescent="0.3">
      <c r="B859" s="39"/>
      <c r="E859" s="40"/>
      <c r="K859" s="34"/>
      <c r="M859" s="33"/>
    </row>
    <row r="860" spans="2:13" x14ac:dyDescent="0.3">
      <c r="B860" s="39"/>
      <c r="E860" s="40"/>
      <c r="K860" s="34"/>
      <c r="M860" s="33"/>
    </row>
    <row r="861" spans="2:13" x14ac:dyDescent="0.3">
      <c r="B861" s="39"/>
      <c r="E861" s="40"/>
      <c r="K861" s="34"/>
      <c r="M861" s="33"/>
    </row>
    <row r="862" spans="2:13" x14ac:dyDescent="0.3">
      <c r="B862" s="39"/>
      <c r="E862" s="40"/>
      <c r="K862" s="34"/>
      <c r="M862" s="33"/>
    </row>
    <row r="863" spans="2:13" x14ac:dyDescent="0.3">
      <c r="B863" s="39"/>
      <c r="E863" s="40"/>
      <c r="K863" s="34"/>
      <c r="M863" s="33"/>
    </row>
    <row r="864" spans="2:13" x14ac:dyDescent="0.3">
      <c r="B864" s="39"/>
      <c r="E864" s="40"/>
      <c r="K864" s="34"/>
      <c r="M864" s="33"/>
    </row>
    <row r="865" spans="2:13" x14ac:dyDescent="0.3">
      <c r="B865" s="39"/>
      <c r="E865" s="40"/>
      <c r="K865" s="34"/>
      <c r="M865" s="33"/>
    </row>
    <row r="866" spans="2:13" x14ac:dyDescent="0.3">
      <c r="B866" s="39"/>
      <c r="E866" s="40"/>
      <c r="K866" s="34"/>
      <c r="M866" s="33"/>
    </row>
    <row r="867" spans="2:13" x14ac:dyDescent="0.3">
      <c r="B867" s="39"/>
      <c r="E867" s="40"/>
      <c r="K867" s="34"/>
      <c r="M867" s="33"/>
    </row>
    <row r="868" spans="2:13" x14ac:dyDescent="0.3">
      <c r="B868" s="39"/>
      <c r="E868" s="40"/>
      <c r="K868" s="34"/>
      <c r="M868" s="33"/>
    </row>
    <row r="869" spans="2:13" x14ac:dyDescent="0.3">
      <c r="B869" s="39"/>
      <c r="E869" s="40"/>
      <c r="K869" s="34"/>
      <c r="M869" s="33"/>
    </row>
    <row r="870" spans="2:13" x14ac:dyDescent="0.3">
      <c r="B870" s="39"/>
      <c r="E870" s="40"/>
      <c r="K870" s="34"/>
      <c r="M870" s="33"/>
    </row>
    <row r="871" spans="2:13" x14ac:dyDescent="0.3">
      <c r="B871" s="39"/>
      <c r="E871" s="40"/>
      <c r="K871" s="34"/>
      <c r="M871" s="33"/>
    </row>
    <row r="872" spans="2:13" x14ac:dyDescent="0.3">
      <c r="B872" s="39"/>
      <c r="E872" s="40"/>
      <c r="K872" s="34"/>
      <c r="M872" s="33"/>
    </row>
    <row r="873" spans="2:13" x14ac:dyDescent="0.3">
      <c r="B873" s="39"/>
      <c r="E873" s="40"/>
      <c r="K873" s="34"/>
      <c r="M873" s="33"/>
    </row>
    <row r="874" spans="2:13" x14ac:dyDescent="0.3">
      <c r="B874" s="39"/>
      <c r="E874" s="40"/>
      <c r="K874" s="34"/>
      <c r="M874" s="33"/>
    </row>
    <row r="875" spans="2:13" x14ac:dyDescent="0.3">
      <c r="B875" s="39"/>
      <c r="E875" s="40"/>
      <c r="K875" s="34"/>
      <c r="M875" s="33"/>
    </row>
    <row r="876" spans="2:13" x14ac:dyDescent="0.3">
      <c r="B876" s="39"/>
      <c r="E876" s="40"/>
      <c r="K876" s="34"/>
      <c r="M876" s="33"/>
    </row>
    <row r="877" spans="2:13" x14ac:dyDescent="0.3">
      <c r="B877" s="39"/>
      <c r="E877" s="40"/>
      <c r="K877" s="34"/>
      <c r="M877" s="33"/>
    </row>
    <row r="878" spans="2:13" x14ac:dyDescent="0.3">
      <c r="B878" s="39"/>
      <c r="E878" s="40"/>
      <c r="K878" s="34"/>
      <c r="M878" s="33"/>
    </row>
    <row r="879" spans="2:13" x14ac:dyDescent="0.3">
      <c r="B879" s="39"/>
      <c r="E879" s="40"/>
      <c r="K879" s="34"/>
      <c r="M879" s="33"/>
    </row>
    <row r="880" spans="2:13" x14ac:dyDescent="0.3">
      <c r="B880" s="39"/>
      <c r="E880" s="40"/>
      <c r="K880" s="34"/>
      <c r="M880" s="33"/>
    </row>
    <row r="881" spans="2:13" x14ac:dyDescent="0.3">
      <c r="B881" s="39"/>
      <c r="E881" s="40"/>
      <c r="K881" s="34"/>
      <c r="M881" s="33"/>
    </row>
    <row r="882" spans="2:13" x14ac:dyDescent="0.3">
      <c r="B882" s="39"/>
      <c r="E882" s="40"/>
      <c r="K882" s="34"/>
      <c r="M882" s="33"/>
    </row>
    <row r="883" spans="2:13" x14ac:dyDescent="0.3">
      <c r="B883" s="39"/>
      <c r="E883" s="40"/>
      <c r="K883" s="34"/>
      <c r="M883" s="33"/>
    </row>
    <row r="884" spans="2:13" x14ac:dyDescent="0.3">
      <c r="B884" s="39"/>
      <c r="E884" s="40"/>
      <c r="K884" s="34"/>
      <c r="M884" s="33"/>
    </row>
    <row r="885" spans="2:13" x14ac:dyDescent="0.3">
      <c r="B885" s="39"/>
      <c r="E885" s="40"/>
      <c r="K885" s="34"/>
      <c r="M885" s="33"/>
    </row>
    <row r="886" spans="2:13" x14ac:dyDescent="0.3">
      <c r="B886" s="39"/>
      <c r="E886" s="40"/>
      <c r="K886" s="34"/>
      <c r="M886" s="33"/>
    </row>
    <row r="887" spans="2:13" x14ac:dyDescent="0.3">
      <c r="B887" s="39"/>
      <c r="E887" s="40"/>
      <c r="K887" s="34"/>
      <c r="M887" s="33"/>
    </row>
    <row r="888" spans="2:13" x14ac:dyDescent="0.3">
      <c r="B888" s="39"/>
      <c r="E888" s="40"/>
      <c r="K888" s="34"/>
      <c r="M888" s="33"/>
    </row>
    <row r="889" spans="2:13" x14ac:dyDescent="0.3">
      <c r="B889" s="39"/>
      <c r="E889" s="40"/>
      <c r="K889" s="34"/>
      <c r="M889" s="33"/>
    </row>
    <row r="890" spans="2:13" x14ac:dyDescent="0.3">
      <c r="B890" s="39"/>
      <c r="E890" s="40"/>
      <c r="K890" s="34"/>
      <c r="M890" s="33"/>
    </row>
    <row r="891" spans="2:13" x14ac:dyDescent="0.3">
      <c r="B891" s="39"/>
      <c r="E891" s="40"/>
      <c r="K891" s="34"/>
      <c r="M891" s="33"/>
    </row>
    <row r="892" spans="2:13" x14ac:dyDescent="0.3">
      <c r="B892" s="39"/>
      <c r="E892" s="40"/>
      <c r="K892" s="34"/>
      <c r="M892" s="33"/>
    </row>
    <row r="893" spans="2:13" x14ac:dyDescent="0.3">
      <c r="B893" s="39"/>
      <c r="E893" s="40"/>
      <c r="K893" s="34"/>
      <c r="M893" s="33"/>
    </row>
    <row r="894" spans="2:13" x14ac:dyDescent="0.3">
      <c r="B894" s="39"/>
      <c r="E894" s="40"/>
      <c r="K894" s="34"/>
      <c r="M894" s="33"/>
    </row>
    <row r="895" spans="2:13" x14ac:dyDescent="0.3">
      <c r="B895" s="39"/>
      <c r="E895" s="40"/>
      <c r="K895" s="34"/>
      <c r="M895" s="33"/>
    </row>
    <row r="896" spans="2:13" x14ac:dyDescent="0.3">
      <c r="B896" s="39"/>
      <c r="E896" s="40"/>
      <c r="K896" s="34"/>
      <c r="M896" s="33"/>
    </row>
    <row r="897" spans="2:13" x14ac:dyDescent="0.3">
      <c r="B897" s="39"/>
      <c r="E897" s="40"/>
      <c r="K897" s="34"/>
      <c r="M897" s="33"/>
    </row>
    <row r="898" spans="2:13" x14ac:dyDescent="0.3">
      <c r="B898" s="39"/>
      <c r="E898" s="40"/>
      <c r="K898" s="34"/>
      <c r="M898" s="33"/>
    </row>
    <row r="899" spans="2:13" x14ac:dyDescent="0.3">
      <c r="B899" s="39"/>
      <c r="E899" s="40"/>
      <c r="K899" s="34"/>
      <c r="M899" s="33"/>
    </row>
    <row r="900" spans="2:13" x14ac:dyDescent="0.3">
      <c r="B900" s="39"/>
      <c r="E900" s="40"/>
      <c r="K900" s="34"/>
      <c r="M900" s="33"/>
    </row>
    <row r="901" spans="2:13" x14ac:dyDescent="0.3">
      <c r="B901" s="39"/>
      <c r="E901" s="40"/>
      <c r="K901" s="34"/>
      <c r="M901" s="33"/>
    </row>
    <row r="902" spans="2:13" x14ac:dyDescent="0.3">
      <c r="B902" s="39"/>
      <c r="E902" s="40"/>
      <c r="K902" s="34"/>
      <c r="M902" s="33"/>
    </row>
    <row r="903" spans="2:13" x14ac:dyDescent="0.3">
      <c r="B903" s="39"/>
      <c r="E903" s="40"/>
      <c r="K903" s="34"/>
      <c r="M903" s="33"/>
    </row>
    <row r="904" spans="2:13" x14ac:dyDescent="0.3">
      <c r="B904" s="39"/>
      <c r="E904" s="40"/>
      <c r="K904" s="34"/>
      <c r="M904" s="33"/>
    </row>
    <row r="905" spans="2:13" x14ac:dyDescent="0.3">
      <c r="B905" s="39"/>
      <c r="E905" s="40"/>
      <c r="K905" s="34"/>
      <c r="M905" s="33"/>
    </row>
    <row r="906" spans="2:13" x14ac:dyDescent="0.3">
      <c r="B906" s="39"/>
      <c r="E906" s="40"/>
      <c r="K906" s="34"/>
      <c r="M906" s="33"/>
    </row>
    <row r="907" spans="2:13" x14ac:dyDescent="0.3">
      <c r="B907" s="39"/>
      <c r="E907" s="40"/>
      <c r="K907" s="34"/>
      <c r="M907" s="33"/>
    </row>
    <row r="908" spans="2:13" x14ac:dyDescent="0.3">
      <c r="B908" s="39"/>
      <c r="E908" s="40"/>
      <c r="K908" s="34"/>
      <c r="M908" s="33"/>
    </row>
    <row r="909" spans="2:13" x14ac:dyDescent="0.3">
      <c r="B909" s="39"/>
      <c r="E909" s="40"/>
      <c r="K909" s="34"/>
      <c r="M909" s="33"/>
    </row>
    <row r="910" spans="2:13" x14ac:dyDescent="0.3">
      <c r="B910" s="39"/>
      <c r="E910" s="40"/>
      <c r="K910" s="34"/>
      <c r="M910" s="33"/>
    </row>
    <row r="911" spans="2:13" x14ac:dyDescent="0.3">
      <c r="B911" s="39"/>
      <c r="E911" s="40"/>
      <c r="K911" s="34"/>
      <c r="M911" s="33"/>
    </row>
    <row r="912" spans="2:13" x14ac:dyDescent="0.3">
      <c r="B912" s="39"/>
      <c r="E912" s="40"/>
      <c r="K912" s="34"/>
      <c r="M912" s="33"/>
    </row>
    <row r="913" spans="2:13" x14ac:dyDescent="0.3">
      <c r="B913" s="39"/>
      <c r="E913" s="40"/>
      <c r="K913" s="34"/>
      <c r="M913" s="33"/>
    </row>
    <row r="914" spans="2:13" x14ac:dyDescent="0.3">
      <c r="B914" s="39"/>
      <c r="E914" s="40"/>
      <c r="K914" s="34"/>
      <c r="M914" s="33"/>
    </row>
    <row r="915" spans="2:13" x14ac:dyDescent="0.3">
      <c r="B915" s="39"/>
      <c r="E915" s="40"/>
      <c r="K915" s="34"/>
      <c r="M915" s="33"/>
    </row>
    <row r="916" spans="2:13" x14ac:dyDescent="0.3">
      <c r="B916" s="39"/>
      <c r="E916" s="40"/>
      <c r="K916" s="34"/>
      <c r="M916" s="33"/>
    </row>
    <row r="917" spans="2:13" x14ac:dyDescent="0.3">
      <c r="B917" s="39"/>
      <c r="E917" s="40"/>
      <c r="K917" s="34"/>
      <c r="M917" s="33"/>
    </row>
    <row r="918" spans="2:13" x14ac:dyDescent="0.3">
      <c r="B918" s="39"/>
      <c r="E918" s="40"/>
      <c r="K918" s="34"/>
      <c r="M918" s="33"/>
    </row>
    <row r="919" spans="2:13" x14ac:dyDescent="0.3">
      <c r="B919" s="39"/>
      <c r="E919" s="40"/>
      <c r="K919" s="34"/>
      <c r="M919" s="33"/>
    </row>
    <row r="920" spans="2:13" x14ac:dyDescent="0.3">
      <c r="B920" s="39"/>
      <c r="E920" s="40"/>
      <c r="K920" s="34"/>
      <c r="M920" s="33"/>
    </row>
    <row r="921" spans="2:13" x14ac:dyDescent="0.3">
      <c r="B921" s="39"/>
      <c r="E921" s="40"/>
      <c r="K921" s="34"/>
      <c r="M921" s="33"/>
    </row>
    <row r="922" spans="2:13" x14ac:dyDescent="0.3">
      <c r="B922" s="39"/>
      <c r="E922" s="40"/>
      <c r="K922" s="34"/>
      <c r="M922" s="33"/>
    </row>
    <row r="923" spans="2:13" x14ac:dyDescent="0.3">
      <c r="B923" s="39"/>
      <c r="E923" s="40"/>
      <c r="K923" s="34"/>
      <c r="M923" s="33"/>
    </row>
    <row r="924" spans="2:13" x14ac:dyDescent="0.3">
      <c r="B924" s="39"/>
      <c r="E924" s="40"/>
      <c r="K924" s="34"/>
      <c r="M924" s="33"/>
    </row>
    <row r="925" spans="2:13" x14ac:dyDescent="0.3">
      <c r="B925" s="39"/>
      <c r="E925" s="40"/>
      <c r="K925" s="34"/>
      <c r="M925" s="33"/>
    </row>
    <row r="926" spans="2:13" x14ac:dyDescent="0.3">
      <c r="B926" s="39"/>
      <c r="E926" s="40"/>
      <c r="K926" s="34"/>
      <c r="M926" s="33"/>
    </row>
    <row r="927" spans="2:13" x14ac:dyDescent="0.3">
      <c r="B927" s="39"/>
      <c r="E927" s="40"/>
      <c r="K927" s="34"/>
      <c r="M927" s="33"/>
    </row>
    <row r="928" spans="2:13" x14ac:dyDescent="0.3">
      <c r="B928" s="39"/>
      <c r="E928" s="40"/>
      <c r="K928" s="34"/>
      <c r="M928" s="33"/>
    </row>
    <row r="929" spans="2:13" x14ac:dyDescent="0.3">
      <c r="B929" s="39"/>
      <c r="E929" s="40"/>
      <c r="K929" s="34"/>
      <c r="M929" s="33"/>
    </row>
    <row r="930" spans="2:13" x14ac:dyDescent="0.3">
      <c r="B930" s="39"/>
      <c r="E930" s="40"/>
      <c r="K930" s="34"/>
      <c r="M930" s="33"/>
    </row>
    <row r="931" spans="2:13" x14ac:dyDescent="0.3">
      <c r="B931" s="39"/>
      <c r="E931" s="40"/>
      <c r="K931" s="34"/>
      <c r="M931" s="33"/>
    </row>
    <row r="932" spans="2:13" x14ac:dyDescent="0.3">
      <c r="B932" s="39"/>
      <c r="E932" s="40"/>
      <c r="K932" s="34"/>
      <c r="M932" s="33"/>
    </row>
    <row r="933" spans="2:13" x14ac:dyDescent="0.3">
      <c r="B933" s="39"/>
      <c r="E933" s="40"/>
      <c r="K933" s="34"/>
      <c r="M933" s="33"/>
    </row>
    <row r="934" spans="2:13" x14ac:dyDescent="0.3">
      <c r="B934" s="39"/>
      <c r="E934" s="40"/>
      <c r="K934" s="34"/>
      <c r="M934" s="33"/>
    </row>
    <row r="935" spans="2:13" x14ac:dyDescent="0.3">
      <c r="B935" s="39"/>
      <c r="E935" s="40"/>
      <c r="K935" s="34"/>
      <c r="M935" s="33"/>
    </row>
    <row r="936" spans="2:13" x14ac:dyDescent="0.3">
      <c r="B936" s="39"/>
      <c r="E936" s="40"/>
      <c r="K936" s="34"/>
      <c r="M936" s="33"/>
    </row>
    <row r="937" spans="2:13" x14ac:dyDescent="0.3">
      <c r="B937" s="39"/>
      <c r="E937" s="40"/>
      <c r="K937" s="34"/>
      <c r="M937" s="33"/>
    </row>
    <row r="938" spans="2:13" x14ac:dyDescent="0.3">
      <c r="B938" s="39"/>
      <c r="E938" s="40"/>
      <c r="K938" s="34"/>
      <c r="M938" s="33"/>
    </row>
    <row r="939" spans="2:13" x14ac:dyDescent="0.3">
      <c r="B939" s="39"/>
      <c r="E939" s="40"/>
      <c r="K939" s="34"/>
      <c r="M939" s="33"/>
    </row>
    <row r="940" spans="2:13" x14ac:dyDescent="0.3">
      <c r="B940" s="39"/>
      <c r="E940" s="40"/>
      <c r="K940" s="34"/>
      <c r="M940" s="33"/>
    </row>
    <row r="941" spans="2:13" x14ac:dyDescent="0.3">
      <c r="B941" s="39"/>
      <c r="E941" s="40"/>
      <c r="K941" s="34"/>
      <c r="M941" s="33"/>
    </row>
    <row r="942" spans="2:13" x14ac:dyDescent="0.3">
      <c r="B942" s="39"/>
      <c r="E942" s="40"/>
      <c r="K942" s="34"/>
      <c r="M942" s="33"/>
    </row>
    <row r="943" spans="2:13" x14ac:dyDescent="0.3">
      <c r="B943" s="39"/>
      <c r="E943" s="40"/>
      <c r="K943" s="34"/>
      <c r="M943" s="33"/>
    </row>
    <row r="944" spans="2:13" x14ac:dyDescent="0.3">
      <c r="B944" s="39"/>
      <c r="E944" s="40"/>
      <c r="K944" s="34"/>
      <c r="M944" s="33"/>
    </row>
    <row r="945" spans="2:13" x14ac:dyDescent="0.3">
      <c r="B945" s="39"/>
      <c r="E945" s="40"/>
      <c r="K945" s="34"/>
      <c r="M945" s="33"/>
    </row>
    <row r="946" spans="2:13" x14ac:dyDescent="0.3">
      <c r="B946" s="39"/>
      <c r="E946" s="40"/>
      <c r="K946" s="34"/>
      <c r="M946" s="33"/>
    </row>
    <row r="947" spans="2:13" x14ac:dyDescent="0.3">
      <c r="B947" s="39"/>
      <c r="E947" s="40"/>
      <c r="K947" s="34"/>
      <c r="M947" s="33"/>
    </row>
    <row r="948" spans="2:13" x14ac:dyDescent="0.3">
      <c r="B948" s="39"/>
      <c r="E948" s="40"/>
      <c r="K948" s="34"/>
      <c r="M948" s="33"/>
    </row>
    <row r="949" spans="2:13" x14ac:dyDescent="0.3">
      <c r="B949" s="39"/>
      <c r="E949" s="40"/>
      <c r="K949" s="34"/>
      <c r="M949" s="33"/>
    </row>
    <row r="950" spans="2:13" x14ac:dyDescent="0.3">
      <c r="B950" s="39"/>
      <c r="E950" s="40"/>
      <c r="K950" s="34"/>
      <c r="M950" s="33"/>
    </row>
    <row r="951" spans="2:13" x14ac:dyDescent="0.3">
      <c r="B951" s="39"/>
      <c r="E951" s="40"/>
      <c r="K951" s="34"/>
      <c r="M951" s="33"/>
    </row>
    <row r="952" spans="2:13" x14ac:dyDescent="0.3">
      <c r="B952" s="39"/>
      <c r="E952" s="40"/>
      <c r="K952" s="34"/>
      <c r="M952" s="33"/>
    </row>
    <row r="953" spans="2:13" x14ac:dyDescent="0.3">
      <c r="B953" s="39"/>
      <c r="E953" s="40"/>
      <c r="K953" s="34"/>
      <c r="M953" s="33"/>
    </row>
    <row r="954" spans="2:13" x14ac:dyDescent="0.3">
      <c r="B954" s="39"/>
      <c r="E954" s="40"/>
      <c r="K954" s="34"/>
      <c r="M954" s="33"/>
    </row>
    <row r="955" spans="2:13" x14ac:dyDescent="0.3">
      <c r="B955" s="39"/>
      <c r="E955" s="40"/>
      <c r="K955" s="34"/>
      <c r="M955" s="33"/>
    </row>
    <row r="956" spans="2:13" x14ac:dyDescent="0.3">
      <c r="B956" s="39"/>
      <c r="E956" s="40"/>
      <c r="K956" s="34"/>
      <c r="M956" s="33"/>
    </row>
    <row r="957" spans="2:13" x14ac:dyDescent="0.3">
      <c r="B957" s="39"/>
      <c r="E957" s="40"/>
      <c r="K957" s="34"/>
      <c r="M957" s="33"/>
    </row>
    <row r="958" spans="2:13" x14ac:dyDescent="0.3">
      <c r="B958" s="39"/>
      <c r="E958" s="40"/>
      <c r="K958" s="34"/>
      <c r="M958" s="33"/>
    </row>
    <row r="959" spans="2:13" x14ac:dyDescent="0.3">
      <c r="B959" s="39"/>
      <c r="E959" s="40"/>
      <c r="K959" s="34"/>
      <c r="M959" s="33"/>
    </row>
    <row r="960" spans="2:13" x14ac:dyDescent="0.3">
      <c r="B960" s="39"/>
      <c r="E960" s="40"/>
      <c r="K960" s="34"/>
      <c r="M960" s="33"/>
    </row>
    <row r="961" spans="2:13" x14ac:dyDescent="0.3">
      <c r="B961" s="39"/>
      <c r="E961" s="40"/>
      <c r="K961" s="34"/>
      <c r="M961" s="33"/>
    </row>
    <row r="962" spans="2:13" x14ac:dyDescent="0.3">
      <c r="B962" s="39"/>
      <c r="E962" s="40"/>
      <c r="K962" s="34"/>
      <c r="M962" s="33"/>
    </row>
    <row r="963" spans="2:13" x14ac:dyDescent="0.3">
      <c r="B963" s="39"/>
      <c r="E963" s="40"/>
      <c r="K963" s="34"/>
      <c r="M963" s="33"/>
    </row>
    <row r="964" spans="2:13" x14ac:dyDescent="0.3">
      <c r="B964" s="39"/>
      <c r="E964" s="40"/>
      <c r="K964" s="34"/>
      <c r="M964" s="33"/>
    </row>
    <row r="965" spans="2:13" x14ac:dyDescent="0.3">
      <c r="B965" s="39"/>
      <c r="E965" s="40"/>
      <c r="K965" s="34"/>
      <c r="M965" s="33"/>
    </row>
    <row r="966" spans="2:13" x14ac:dyDescent="0.3">
      <c r="B966" s="39"/>
      <c r="E966" s="40"/>
      <c r="K966" s="34"/>
      <c r="M966" s="33"/>
    </row>
    <row r="967" spans="2:13" x14ac:dyDescent="0.3">
      <c r="B967" s="39"/>
      <c r="E967" s="40"/>
      <c r="K967" s="34"/>
      <c r="M967" s="33"/>
    </row>
    <row r="968" spans="2:13" x14ac:dyDescent="0.3">
      <c r="B968" s="39"/>
      <c r="E968" s="40"/>
      <c r="K968" s="34"/>
      <c r="M968" s="33"/>
    </row>
    <row r="969" spans="2:13" x14ac:dyDescent="0.3">
      <c r="B969" s="39"/>
      <c r="E969" s="40"/>
      <c r="K969" s="34"/>
      <c r="M969" s="33"/>
    </row>
    <row r="970" spans="2:13" x14ac:dyDescent="0.3">
      <c r="B970" s="39"/>
      <c r="E970" s="40"/>
      <c r="K970" s="34"/>
      <c r="M970" s="33"/>
    </row>
    <row r="971" spans="2:13" x14ac:dyDescent="0.3">
      <c r="B971" s="39"/>
      <c r="E971" s="40"/>
      <c r="K971" s="34"/>
      <c r="M971" s="33"/>
    </row>
    <row r="972" spans="2:13" x14ac:dyDescent="0.3">
      <c r="B972" s="39"/>
      <c r="E972" s="40"/>
      <c r="K972" s="34"/>
      <c r="M972" s="33"/>
    </row>
    <row r="973" spans="2:13" x14ac:dyDescent="0.3">
      <c r="B973" s="39"/>
      <c r="E973" s="40"/>
      <c r="K973" s="34"/>
      <c r="M973" s="33"/>
    </row>
    <row r="974" spans="2:13" x14ac:dyDescent="0.3">
      <c r="B974" s="39"/>
      <c r="E974" s="40"/>
      <c r="K974" s="34"/>
      <c r="M974" s="33"/>
    </row>
    <row r="975" spans="2:13" x14ac:dyDescent="0.3">
      <c r="B975" s="39"/>
      <c r="E975" s="40"/>
      <c r="K975" s="34"/>
      <c r="M975" s="33"/>
    </row>
    <row r="976" spans="2:13" x14ac:dyDescent="0.3">
      <c r="B976" s="39"/>
      <c r="E976" s="40"/>
      <c r="K976" s="34"/>
      <c r="M976" s="33"/>
    </row>
    <row r="977" spans="2:13" x14ac:dyDescent="0.3">
      <c r="B977" s="39"/>
      <c r="E977" s="40"/>
      <c r="K977" s="34"/>
      <c r="M977" s="33"/>
    </row>
    <row r="978" spans="2:13" x14ac:dyDescent="0.3">
      <c r="B978" s="39"/>
      <c r="E978" s="40"/>
      <c r="K978" s="34"/>
      <c r="M978" s="33"/>
    </row>
    <row r="979" spans="2:13" x14ac:dyDescent="0.3">
      <c r="B979" s="39"/>
      <c r="E979" s="40"/>
      <c r="K979" s="34"/>
      <c r="M979" s="33"/>
    </row>
    <row r="980" spans="2:13" x14ac:dyDescent="0.3">
      <c r="B980" s="39"/>
      <c r="E980" s="40"/>
      <c r="K980" s="34"/>
      <c r="M980" s="33"/>
    </row>
    <row r="981" spans="2:13" x14ac:dyDescent="0.3">
      <c r="B981" s="39"/>
      <c r="E981" s="40"/>
      <c r="K981" s="34"/>
      <c r="M981" s="33"/>
    </row>
    <row r="982" spans="2:13" x14ac:dyDescent="0.3">
      <c r="B982" s="39"/>
      <c r="E982" s="40"/>
      <c r="K982" s="34"/>
      <c r="M982" s="33"/>
    </row>
    <row r="983" spans="2:13" x14ac:dyDescent="0.3">
      <c r="B983" s="39"/>
      <c r="E983" s="40"/>
      <c r="K983" s="34"/>
      <c r="M983" s="33"/>
    </row>
    <row r="984" spans="2:13" x14ac:dyDescent="0.3">
      <c r="B984" s="39"/>
      <c r="E984" s="40"/>
      <c r="K984" s="34"/>
      <c r="M984" s="33"/>
    </row>
    <row r="985" spans="2:13" x14ac:dyDescent="0.3">
      <c r="B985" s="39"/>
      <c r="E985" s="40"/>
      <c r="K985" s="34"/>
      <c r="M985" s="33"/>
    </row>
    <row r="986" spans="2:13" x14ac:dyDescent="0.3">
      <c r="B986" s="39"/>
      <c r="E986" s="40"/>
      <c r="K986" s="34"/>
      <c r="M986" s="33"/>
    </row>
    <row r="987" spans="2:13" x14ac:dyDescent="0.3">
      <c r="B987" s="39"/>
      <c r="E987" s="40"/>
      <c r="K987" s="34"/>
      <c r="M987" s="33"/>
    </row>
    <row r="988" spans="2:13" x14ac:dyDescent="0.3">
      <c r="B988" s="39"/>
      <c r="E988" s="40"/>
      <c r="K988" s="34"/>
      <c r="M988" s="33"/>
    </row>
    <row r="989" spans="2:13" x14ac:dyDescent="0.3">
      <c r="B989" s="39"/>
      <c r="E989" s="40"/>
      <c r="K989" s="34"/>
      <c r="M989" s="33"/>
    </row>
    <row r="990" spans="2:13" x14ac:dyDescent="0.3">
      <c r="B990" s="39"/>
      <c r="E990" s="40"/>
      <c r="K990" s="34"/>
      <c r="M990" s="33"/>
    </row>
    <row r="991" spans="2:13" x14ac:dyDescent="0.3">
      <c r="B991" s="39"/>
      <c r="E991" s="40"/>
      <c r="K991" s="34"/>
      <c r="M991" s="33"/>
    </row>
    <row r="992" spans="2:13" x14ac:dyDescent="0.3">
      <c r="B992" s="39"/>
      <c r="E992" s="40"/>
      <c r="K992" s="34"/>
      <c r="M992" s="33"/>
    </row>
    <row r="993" spans="2:13" x14ac:dyDescent="0.3">
      <c r="B993" s="39"/>
      <c r="E993" s="40"/>
      <c r="K993" s="34"/>
      <c r="M993" s="33"/>
    </row>
    <row r="994" spans="2:13" x14ac:dyDescent="0.3">
      <c r="B994" s="39"/>
      <c r="E994" s="40"/>
      <c r="K994" s="34"/>
      <c r="M994" s="33"/>
    </row>
    <row r="995" spans="2:13" x14ac:dyDescent="0.3">
      <c r="B995" s="39"/>
      <c r="E995" s="40"/>
      <c r="K995" s="34"/>
      <c r="M995" s="33"/>
    </row>
    <row r="996" spans="2:13" x14ac:dyDescent="0.3">
      <c r="B996" s="39"/>
      <c r="E996" s="40"/>
      <c r="K996" s="34"/>
      <c r="M996" s="33"/>
    </row>
    <row r="997" spans="2:13" x14ac:dyDescent="0.3">
      <c r="B997" s="39"/>
      <c r="E997" s="40"/>
      <c r="K997" s="34"/>
      <c r="M997" s="33"/>
    </row>
    <row r="998" spans="2:13" x14ac:dyDescent="0.3">
      <c r="B998" s="39"/>
      <c r="E998" s="40"/>
      <c r="K998" s="34"/>
      <c r="M998" s="33"/>
    </row>
    <row r="999" spans="2:13" x14ac:dyDescent="0.3">
      <c r="B999" s="39"/>
      <c r="E999" s="40"/>
      <c r="K999" s="34"/>
      <c r="M999" s="33"/>
    </row>
    <row r="1000" spans="2:13" x14ac:dyDescent="0.3">
      <c r="B1000" s="39"/>
      <c r="E1000" s="40"/>
      <c r="K1000" s="34"/>
      <c r="M1000" s="33"/>
    </row>
    <row r="1001" spans="2:13" x14ac:dyDescent="0.3">
      <c r="B1001" s="39"/>
      <c r="E1001" s="40"/>
      <c r="K1001" s="34"/>
      <c r="M1001" s="33"/>
    </row>
    <row r="1002" spans="2:13" x14ac:dyDescent="0.3">
      <c r="B1002" s="39"/>
      <c r="E1002" s="40"/>
      <c r="K1002" s="34"/>
      <c r="M1002" s="33"/>
    </row>
    <row r="1003" spans="2:13" x14ac:dyDescent="0.3">
      <c r="B1003" s="39"/>
      <c r="E1003" s="40"/>
      <c r="K1003" s="34"/>
      <c r="M1003" s="33"/>
    </row>
    <row r="1004" spans="2:13" x14ac:dyDescent="0.3">
      <c r="B1004" s="39"/>
      <c r="E1004" s="40"/>
      <c r="K1004" s="34"/>
      <c r="M1004" s="33"/>
    </row>
    <row r="1005" spans="2:13" x14ac:dyDescent="0.3">
      <c r="B1005" s="39"/>
      <c r="E1005" s="40"/>
      <c r="K1005" s="34"/>
      <c r="M1005" s="33"/>
    </row>
    <row r="1006" spans="2:13" x14ac:dyDescent="0.3">
      <c r="B1006" s="39"/>
      <c r="E1006" s="40"/>
      <c r="K1006" s="34"/>
      <c r="M1006" s="33"/>
    </row>
    <row r="1007" spans="2:13" x14ac:dyDescent="0.3">
      <c r="B1007" s="39"/>
      <c r="E1007" s="40"/>
      <c r="K1007" s="34"/>
      <c r="M1007" s="33"/>
    </row>
    <row r="1008" spans="2:13" x14ac:dyDescent="0.3">
      <c r="B1008" s="39"/>
      <c r="E1008" s="40"/>
      <c r="K1008" s="34"/>
      <c r="M1008" s="33"/>
    </row>
    <row r="1009" spans="2:13" x14ac:dyDescent="0.3">
      <c r="B1009" s="39"/>
      <c r="E1009" s="40"/>
      <c r="K1009" s="34"/>
      <c r="M1009" s="33"/>
    </row>
    <row r="1010" spans="2:13" x14ac:dyDescent="0.3">
      <c r="B1010" s="39"/>
      <c r="E1010" s="40"/>
      <c r="K1010" s="34"/>
      <c r="M1010" s="33"/>
    </row>
    <row r="1011" spans="2:13" x14ac:dyDescent="0.3">
      <c r="B1011" s="39"/>
      <c r="E1011" s="40"/>
      <c r="K1011" s="34"/>
      <c r="M1011" s="33"/>
    </row>
    <row r="1012" spans="2:13" x14ac:dyDescent="0.3">
      <c r="B1012" s="39"/>
      <c r="E1012" s="40"/>
      <c r="K1012" s="34"/>
      <c r="M1012" s="33"/>
    </row>
    <row r="1013" spans="2:13" x14ac:dyDescent="0.3">
      <c r="B1013" s="39"/>
      <c r="E1013" s="40"/>
      <c r="K1013" s="34"/>
      <c r="M1013" s="33"/>
    </row>
    <row r="1014" spans="2:13" x14ac:dyDescent="0.3">
      <c r="B1014" s="39"/>
      <c r="E1014" s="40"/>
      <c r="K1014" s="34"/>
      <c r="M1014" s="33"/>
    </row>
    <row r="1015" spans="2:13" x14ac:dyDescent="0.3">
      <c r="B1015" s="39"/>
      <c r="E1015" s="40"/>
      <c r="K1015" s="34"/>
      <c r="M1015" s="33"/>
    </row>
    <row r="1016" spans="2:13" x14ac:dyDescent="0.3">
      <c r="B1016" s="39"/>
      <c r="E1016" s="40"/>
      <c r="K1016" s="34"/>
      <c r="M1016" s="33"/>
    </row>
    <row r="1017" spans="2:13" x14ac:dyDescent="0.3">
      <c r="B1017" s="39"/>
      <c r="E1017" s="40"/>
      <c r="K1017" s="34"/>
      <c r="M1017" s="33"/>
    </row>
    <row r="1018" spans="2:13" x14ac:dyDescent="0.3">
      <c r="B1018" s="39"/>
      <c r="E1018" s="40"/>
      <c r="K1018" s="34"/>
      <c r="M1018" s="33"/>
    </row>
    <row r="1019" spans="2:13" x14ac:dyDescent="0.3">
      <c r="B1019" s="39"/>
      <c r="E1019" s="40"/>
      <c r="K1019" s="34"/>
      <c r="M1019" s="33"/>
    </row>
    <row r="1020" spans="2:13" x14ac:dyDescent="0.3">
      <c r="B1020" s="39"/>
      <c r="E1020" s="40"/>
      <c r="K1020" s="34"/>
      <c r="M1020" s="33"/>
    </row>
    <row r="1021" spans="2:13" x14ac:dyDescent="0.3">
      <c r="B1021" s="39"/>
      <c r="E1021" s="40"/>
      <c r="K1021" s="34"/>
      <c r="M1021" s="33"/>
    </row>
    <row r="1022" spans="2:13" x14ac:dyDescent="0.3">
      <c r="B1022" s="39"/>
      <c r="E1022" s="40"/>
      <c r="K1022" s="34"/>
      <c r="M1022" s="33"/>
    </row>
    <row r="1023" spans="2:13" x14ac:dyDescent="0.3">
      <c r="B1023" s="39"/>
      <c r="E1023" s="40"/>
      <c r="K1023" s="34"/>
      <c r="M1023" s="33"/>
    </row>
    <row r="1024" spans="2:13" x14ac:dyDescent="0.3">
      <c r="B1024" s="39"/>
      <c r="E1024" s="40"/>
      <c r="K1024" s="34"/>
      <c r="M1024" s="33"/>
    </row>
    <row r="1025" spans="2:13" x14ac:dyDescent="0.3">
      <c r="B1025" s="39"/>
      <c r="E1025" s="40"/>
      <c r="K1025" s="34"/>
      <c r="M1025" s="33"/>
    </row>
    <row r="1026" spans="2:13" x14ac:dyDescent="0.3">
      <c r="B1026" s="39"/>
      <c r="E1026" s="40"/>
      <c r="K1026" s="34"/>
      <c r="M1026" s="33"/>
    </row>
    <row r="1027" spans="2:13" x14ac:dyDescent="0.3">
      <c r="B1027" s="39"/>
      <c r="E1027" s="40"/>
      <c r="K1027" s="34"/>
      <c r="M1027" s="33"/>
    </row>
    <row r="1028" spans="2:13" x14ac:dyDescent="0.3">
      <c r="B1028" s="39"/>
      <c r="E1028" s="40"/>
      <c r="K1028" s="34"/>
      <c r="M1028" s="33"/>
    </row>
    <row r="1029" spans="2:13" x14ac:dyDescent="0.3">
      <c r="B1029" s="39"/>
      <c r="E1029" s="40"/>
      <c r="K1029" s="34"/>
      <c r="M1029" s="33"/>
    </row>
    <row r="1030" spans="2:13" x14ac:dyDescent="0.3">
      <c r="B1030" s="39"/>
      <c r="E1030" s="40"/>
      <c r="K1030" s="34"/>
      <c r="M1030" s="33"/>
    </row>
    <row r="1031" spans="2:13" x14ac:dyDescent="0.3">
      <c r="B1031" s="39"/>
      <c r="E1031" s="40"/>
      <c r="K1031" s="34"/>
      <c r="M1031" s="33"/>
    </row>
    <row r="1032" spans="2:13" x14ac:dyDescent="0.3">
      <c r="B1032" s="39"/>
      <c r="E1032" s="40"/>
      <c r="K1032" s="34"/>
      <c r="M1032" s="33"/>
    </row>
    <row r="1033" spans="2:13" x14ac:dyDescent="0.3">
      <c r="B1033" s="39"/>
      <c r="E1033" s="40"/>
      <c r="K1033" s="34"/>
      <c r="M1033" s="33"/>
    </row>
    <row r="1034" spans="2:13" x14ac:dyDescent="0.3">
      <c r="B1034" s="39"/>
      <c r="E1034" s="40"/>
      <c r="K1034" s="34"/>
      <c r="M1034" s="33"/>
    </row>
    <row r="1035" spans="2:13" x14ac:dyDescent="0.3">
      <c r="B1035" s="39"/>
      <c r="E1035" s="40"/>
      <c r="K1035" s="34"/>
      <c r="M1035" s="33"/>
    </row>
    <row r="1036" spans="2:13" x14ac:dyDescent="0.3">
      <c r="B1036" s="39"/>
      <c r="E1036" s="40"/>
      <c r="K1036" s="34"/>
      <c r="M1036" s="33"/>
    </row>
    <row r="1037" spans="2:13" x14ac:dyDescent="0.3">
      <c r="B1037" s="39"/>
      <c r="E1037" s="40"/>
      <c r="K1037" s="34"/>
      <c r="M1037" s="33"/>
    </row>
    <row r="1038" spans="2:13" x14ac:dyDescent="0.3">
      <c r="B1038" s="39"/>
      <c r="E1038" s="40"/>
      <c r="K1038" s="34"/>
      <c r="M1038" s="33"/>
    </row>
    <row r="1039" spans="2:13" x14ac:dyDescent="0.3">
      <c r="B1039" s="39"/>
      <c r="E1039" s="40"/>
      <c r="K1039" s="34"/>
      <c r="M1039" s="33"/>
    </row>
    <row r="1040" spans="2:13" x14ac:dyDescent="0.3">
      <c r="B1040" s="39"/>
      <c r="E1040" s="40"/>
      <c r="K1040" s="34"/>
      <c r="M1040" s="33"/>
    </row>
    <row r="1041" spans="2:13" x14ac:dyDescent="0.3">
      <c r="B1041" s="39"/>
      <c r="E1041" s="40"/>
      <c r="K1041" s="34"/>
      <c r="M1041" s="33"/>
    </row>
    <row r="1042" spans="2:13" x14ac:dyDescent="0.3">
      <c r="B1042" s="39"/>
      <c r="E1042" s="40"/>
      <c r="K1042" s="34"/>
      <c r="M1042" s="33"/>
    </row>
    <row r="1043" spans="2:13" x14ac:dyDescent="0.3">
      <c r="B1043" s="39"/>
      <c r="E1043" s="40"/>
      <c r="K1043" s="34"/>
      <c r="M1043" s="33"/>
    </row>
    <row r="1044" spans="2:13" x14ac:dyDescent="0.3">
      <c r="B1044" s="39"/>
      <c r="E1044" s="40"/>
      <c r="K1044" s="34"/>
      <c r="M1044" s="33"/>
    </row>
    <row r="1045" spans="2:13" x14ac:dyDescent="0.3">
      <c r="B1045" s="39"/>
      <c r="E1045" s="40"/>
      <c r="K1045" s="34"/>
      <c r="M1045" s="33"/>
    </row>
    <row r="1046" spans="2:13" x14ac:dyDescent="0.3">
      <c r="B1046" s="39"/>
      <c r="E1046" s="40"/>
      <c r="K1046" s="34"/>
      <c r="M1046" s="33"/>
    </row>
    <row r="1047" spans="2:13" x14ac:dyDescent="0.3">
      <c r="B1047" s="39"/>
      <c r="E1047" s="40"/>
      <c r="K1047" s="34"/>
      <c r="M1047" s="33"/>
    </row>
    <row r="1048" spans="2:13" x14ac:dyDescent="0.3">
      <c r="B1048" s="39"/>
      <c r="E1048" s="40"/>
      <c r="K1048" s="34"/>
      <c r="M1048" s="33"/>
    </row>
    <row r="1049" spans="2:13" x14ac:dyDescent="0.3">
      <c r="B1049" s="39"/>
      <c r="E1049" s="40"/>
      <c r="K1049" s="34"/>
      <c r="M1049" s="33"/>
    </row>
    <row r="1050" spans="2:13" x14ac:dyDescent="0.3">
      <c r="B1050" s="39"/>
      <c r="E1050" s="40"/>
      <c r="K1050" s="34"/>
      <c r="M1050" s="33"/>
    </row>
    <row r="1051" spans="2:13" x14ac:dyDescent="0.3">
      <c r="B1051" s="39"/>
      <c r="E1051" s="40"/>
      <c r="K1051" s="34"/>
      <c r="M1051" s="33"/>
    </row>
    <row r="1052" spans="2:13" x14ac:dyDescent="0.3">
      <c r="B1052" s="39"/>
      <c r="E1052" s="40"/>
      <c r="K1052" s="34"/>
      <c r="M1052" s="33"/>
    </row>
    <row r="1053" spans="2:13" x14ac:dyDescent="0.3">
      <c r="B1053" s="39"/>
      <c r="E1053" s="40"/>
      <c r="K1053" s="34"/>
      <c r="M1053" s="33"/>
    </row>
    <row r="1054" spans="2:13" x14ac:dyDescent="0.3">
      <c r="B1054" s="39"/>
      <c r="E1054" s="40"/>
      <c r="K1054" s="34"/>
      <c r="M1054" s="33"/>
    </row>
    <row r="1055" spans="2:13" x14ac:dyDescent="0.3">
      <c r="B1055" s="39"/>
      <c r="E1055" s="40"/>
      <c r="K1055" s="34"/>
      <c r="M1055" s="33"/>
    </row>
    <row r="1056" spans="2:13" x14ac:dyDescent="0.3">
      <c r="B1056" s="39"/>
      <c r="E1056" s="40"/>
      <c r="K1056" s="34"/>
      <c r="M1056" s="33"/>
    </row>
    <row r="1057" spans="2:13" x14ac:dyDescent="0.3">
      <c r="B1057" s="39"/>
      <c r="E1057" s="40"/>
      <c r="K1057" s="34"/>
      <c r="M1057" s="33"/>
    </row>
    <row r="1058" spans="2:13" x14ac:dyDescent="0.3">
      <c r="B1058" s="39"/>
      <c r="E1058" s="40"/>
      <c r="K1058" s="34"/>
      <c r="M1058" s="33"/>
    </row>
    <row r="1059" spans="2:13" x14ac:dyDescent="0.3">
      <c r="B1059" s="39"/>
      <c r="E1059" s="40"/>
      <c r="K1059" s="34"/>
      <c r="M1059" s="33"/>
    </row>
    <row r="1060" spans="2:13" x14ac:dyDescent="0.3">
      <c r="B1060" s="39"/>
      <c r="E1060" s="40"/>
      <c r="K1060" s="34"/>
      <c r="M1060" s="33"/>
    </row>
    <row r="1061" spans="2:13" x14ac:dyDescent="0.3">
      <c r="B1061" s="39"/>
      <c r="E1061" s="40"/>
      <c r="K1061" s="34"/>
      <c r="M1061" s="33"/>
    </row>
  </sheetData>
  <protectedRanges>
    <protectedRange sqref="B697 I697:L697 F695:G697 E695 I696:J696 I647:L647 I652:L661 J648:L651 I667:L671 J662:L666 I673:L679 J672:L672 I681:L682 J680:L680 J683:L683 I684:L695 E647:G694 B647:B695" name="Intervalo4_31"/>
    <protectedRange sqref="H595:H697" name="Intervalo2_23"/>
    <protectedRange sqref="H595:H697" name="Intervalo1_23"/>
    <protectedRange sqref="K697:L697 K595:L695" name="Intervalo3_60"/>
  </protectedRanges>
  <autoFilter ref="B11:N757" xr:uid="{AB8485C6-920A-48FB-B0E4-49D00BA71E93}">
    <sortState xmlns:xlrd2="http://schemas.microsoft.com/office/spreadsheetml/2017/richdata2" ref="B12:N757">
      <sortCondition ref="D11:D757"/>
    </sortState>
  </autoFilter>
  <sortState xmlns:xlrd2="http://schemas.microsoft.com/office/spreadsheetml/2017/richdata2" ref="B12:N361">
    <sortCondition ref="C12:C361"/>
  </sortState>
  <mergeCells count="6">
    <mergeCell ref="C8:D8"/>
    <mergeCell ref="C2:N2"/>
    <mergeCell ref="C3:N3"/>
    <mergeCell ref="C4:N4"/>
    <mergeCell ref="C6:D6"/>
    <mergeCell ref="C7:D7"/>
  </mergeCells>
  <phoneticPr fontId="18" type="noConversion"/>
  <conditionalFormatting sqref="B595:B697">
    <cfRule type="duplicateValues" dxfId="1" priority="6"/>
  </conditionalFormatting>
  <conditionalFormatting sqref="E595:E697">
    <cfRule type="duplicateValues" dxfId="0" priority="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315E-4681-4DF4-BC3E-634F7ADCCAC7}">
  <dimension ref="B2:S29"/>
  <sheetViews>
    <sheetView workbookViewId="0">
      <selection activeCell="F23" sqref="F23"/>
    </sheetView>
  </sheetViews>
  <sheetFormatPr defaultRowHeight="14.4" x14ac:dyDescent="0.3"/>
  <cols>
    <col min="1" max="1" width="3.5546875" customWidth="1"/>
    <col min="2" max="2" width="18.88671875" bestFit="1" customWidth="1"/>
    <col min="3" max="3" width="14" customWidth="1"/>
    <col min="4" max="4" width="4.33203125" customWidth="1"/>
    <col min="5" max="5" width="7" bestFit="1" customWidth="1"/>
    <col min="6" max="6" width="10.44140625" bestFit="1" customWidth="1"/>
    <col min="7" max="7" width="11.44140625" bestFit="1" customWidth="1"/>
    <col min="8" max="8" width="10.44140625" bestFit="1" customWidth="1"/>
    <col min="9" max="9" width="9.44140625" bestFit="1" customWidth="1"/>
    <col min="10" max="10" width="11.44140625" bestFit="1" customWidth="1"/>
    <col min="11" max="13" width="10.44140625" bestFit="1" customWidth="1"/>
    <col min="14" max="14" width="11.44140625" bestFit="1" customWidth="1"/>
    <col min="15" max="15" width="9.44140625" bestFit="1" customWidth="1"/>
    <col min="16" max="17" width="19" bestFit="1" customWidth="1"/>
    <col min="18" max="18" width="19.88671875" bestFit="1" customWidth="1"/>
    <col min="19" max="19" width="25.44140625" bestFit="1" customWidth="1"/>
    <col min="20" max="20" width="19.88671875" bestFit="1" customWidth="1"/>
    <col min="21" max="21" width="25.44140625" bestFit="1" customWidth="1"/>
    <col min="22" max="22" width="19.88671875" bestFit="1" customWidth="1"/>
    <col min="23" max="23" width="25.44140625" bestFit="1" customWidth="1"/>
    <col min="24" max="24" width="19.88671875" bestFit="1" customWidth="1"/>
    <col min="25" max="25" width="30.21875" bestFit="1" customWidth="1"/>
    <col min="26" max="26" width="24.88671875" bestFit="1" customWidth="1"/>
    <col min="27" max="27" width="13" bestFit="1" customWidth="1"/>
    <col min="28" max="28" width="11.88671875" bestFit="1" customWidth="1"/>
    <col min="29" max="29" width="9.44140625" bestFit="1" customWidth="1"/>
    <col min="30" max="30" width="15" bestFit="1" customWidth="1"/>
    <col min="31" max="31" width="10.77734375" bestFit="1" customWidth="1"/>
    <col min="32" max="33" width="11.44140625" bestFit="1" customWidth="1"/>
    <col min="34" max="34" width="10.77734375" bestFit="1" customWidth="1"/>
    <col min="35" max="35" width="8" bestFit="1" customWidth="1"/>
    <col min="36" max="36" width="11.109375" bestFit="1" customWidth="1"/>
    <col min="37" max="37" width="19" bestFit="1" customWidth="1"/>
  </cols>
  <sheetData>
    <row r="2" spans="2:19" ht="25.05" customHeight="1" x14ac:dyDescent="0.3">
      <c r="E2" s="88" t="s">
        <v>2172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90"/>
    </row>
    <row r="3" spans="2:19" ht="28.8" x14ac:dyDescent="0.3">
      <c r="B3" s="68" t="s">
        <v>1846</v>
      </c>
      <c r="C3" s="69" t="s">
        <v>2173</v>
      </c>
      <c r="E3" s="91" t="s">
        <v>2174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3"/>
    </row>
    <row r="4" spans="2:19" x14ac:dyDescent="0.3">
      <c r="B4" s="77">
        <v>1</v>
      </c>
      <c r="C4" s="70">
        <v>0</v>
      </c>
    </row>
    <row r="5" spans="2:19" x14ac:dyDescent="0.3">
      <c r="B5" s="77">
        <v>2</v>
      </c>
      <c r="C5" s="70">
        <v>0</v>
      </c>
    </row>
    <row r="6" spans="2:19" x14ac:dyDescent="0.3">
      <c r="B6" s="77">
        <v>3</v>
      </c>
      <c r="C6" s="70">
        <v>0</v>
      </c>
    </row>
    <row r="7" spans="2:19" x14ac:dyDescent="0.3">
      <c r="B7" s="77">
        <v>4</v>
      </c>
      <c r="C7" s="70">
        <v>0</v>
      </c>
    </row>
    <row r="8" spans="2:19" x14ac:dyDescent="0.3">
      <c r="B8" s="77">
        <v>5</v>
      </c>
      <c r="C8" s="70">
        <v>0</v>
      </c>
    </row>
    <row r="9" spans="2:19" x14ac:dyDescent="0.3">
      <c r="B9" s="77">
        <v>6</v>
      </c>
      <c r="C9" s="70">
        <v>0</v>
      </c>
    </row>
    <row r="10" spans="2:19" x14ac:dyDescent="0.3">
      <c r="B10" s="77">
        <v>7</v>
      </c>
      <c r="C10" s="70">
        <v>0</v>
      </c>
    </row>
    <row r="11" spans="2:19" x14ac:dyDescent="0.3">
      <c r="B11" s="77">
        <v>8</v>
      </c>
      <c r="C11" s="70">
        <v>0</v>
      </c>
    </row>
    <row r="12" spans="2:19" x14ac:dyDescent="0.3">
      <c r="B12" s="77">
        <v>9</v>
      </c>
      <c r="C12" s="70">
        <v>0</v>
      </c>
    </row>
    <row r="13" spans="2:19" x14ac:dyDescent="0.3">
      <c r="B13" s="77">
        <v>10</v>
      </c>
      <c r="C13" s="70">
        <v>0</v>
      </c>
    </row>
    <row r="14" spans="2:19" x14ac:dyDescent="0.3">
      <c r="B14" s="77">
        <v>11</v>
      </c>
      <c r="C14" s="70">
        <v>0</v>
      </c>
    </row>
    <row r="15" spans="2:19" x14ac:dyDescent="0.3">
      <c r="B15" s="77">
        <v>12</v>
      </c>
      <c r="C15" s="70">
        <v>0</v>
      </c>
    </row>
    <row r="16" spans="2:19" x14ac:dyDescent="0.3">
      <c r="B16" s="77">
        <v>13</v>
      </c>
      <c r="C16" s="70">
        <v>0</v>
      </c>
    </row>
    <row r="17" spans="2:3" x14ac:dyDescent="0.3">
      <c r="B17" s="77">
        <v>14</v>
      </c>
      <c r="C17" s="70">
        <v>0</v>
      </c>
    </row>
    <row r="18" spans="2:3" x14ac:dyDescent="0.3">
      <c r="B18" s="77">
        <v>15</v>
      </c>
      <c r="C18" s="70">
        <v>0</v>
      </c>
    </row>
    <row r="19" spans="2:3" x14ac:dyDescent="0.3">
      <c r="B19" s="77">
        <v>16</v>
      </c>
      <c r="C19" s="70">
        <v>0</v>
      </c>
    </row>
    <row r="20" spans="2:3" x14ac:dyDescent="0.3">
      <c r="B20" s="77">
        <v>17</v>
      </c>
      <c r="C20" s="70">
        <v>0</v>
      </c>
    </row>
    <row r="21" spans="2:3" x14ac:dyDescent="0.3">
      <c r="B21" s="77">
        <v>18</v>
      </c>
      <c r="C21" s="70">
        <v>0</v>
      </c>
    </row>
    <row r="22" spans="2:3" x14ac:dyDescent="0.3">
      <c r="B22" s="77">
        <v>19</v>
      </c>
      <c r="C22" s="70">
        <v>0</v>
      </c>
    </row>
    <row r="23" spans="2:3" x14ac:dyDescent="0.3">
      <c r="B23" s="77">
        <v>20</v>
      </c>
      <c r="C23" s="70">
        <v>0</v>
      </c>
    </row>
    <row r="24" spans="2:3" x14ac:dyDescent="0.3">
      <c r="B24" s="77">
        <v>21</v>
      </c>
      <c r="C24" s="70">
        <v>0</v>
      </c>
    </row>
    <row r="25" spans="2:3" x14ac:dyDescent="0.3">
      <c r="B25" s="77">
        <v>22</v>
      </c>
      <c r="C25" s="70">
        <v>0</v>
      </c>
    </row>
    <row r="26" spans="2:3" x14ac:dyDescent="0.3">
      <c r="B26" s="77">
        <v>23</v>
      </c>
      <c r="C26" s="70">
        <v>0</v>
      </c>
    </row>
    <row r="27" spans="2:3" x14ac:dyDescent="0.3">
      <c r="B27" s="77">
        <v>24</v>
      </c>
      <c r="C27" s="70">
        <v>0</v>
      </c>
    </row>
    <row r="28" spans="2:3" x14ac:dyDescent="0.3">
      <c r="B28" s="77">
        <v>25</v>
      </c>
      <c r="C28" s="70">
        <v>0</v>
      </c>
    </row>
    <row r="29" spans="2:3" x14ac:dyDescent="0.3">
      <c r="B29" s="78" t="s">
        <v>2175</v>
      </c>
      <c r="C29" s="79">
        <v>0</v>
      </c>
    </row>
  </sheetData>
  <mergeCells count="2">
    <mergeCell ref="E2:S2"/>
    <mergeCell ref="E3:S3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B53E-7DC6-48B4-A40B-7823117916C3}">
  <sheetPr>
    <tabColor rgb="FFFFFF00"/>
  </sheetPr>
  <dimension ref="B2:M85"/>
  <sheetViews>
    <sheetView topLeftCell="C55" workbookViewId="0">
      <selection activeCell="L3" sqref="L3:L85"/>
    </sheetView>
  </sheetViews>
  <sheetFormatPr defaultRowHeight="14.4" x14ac:dyDescent="0.3"/>
  <cols>
    <col min="3" max="3" width="8.44140625" bestFit="1" customWidth="1"/>
    <col min="4" max="4" width="78.21875" bestFit="1" customWidth="1"/>
    <col min="5" max="5" width="18" bestFit="1" customWidth="1"/>
    <col min="6" max="6" width="47.44140625" bestFit="1" customWidth="1"/>
    <col min="7" max="7" width="7.5546875" bestFit="1" customWidth="1"/>
    <col min="8" max="8" width="42.77734375" bestFit="1" customWidth="1"/>
    <col min="12" max="12" width="18.21875" bestFit="1" customWidth="1"/>
  </cols>
  <sheetData>
    <row r="2" spans="2:13" x14ac:dyDescent="0.3">
      <c r="B2" s="12" t="s">
        <v>4</v>
      </c>
      <c r="C2" s="12" t="s">
        <v>321</v>
      </c>
      <c r="D2" s="12" t="s">
        <v>0</v>
      </c>
      <c r="E2" s="12" t="s">
        <v>1</v>
      </c>
      <c r="F2" s="12" t="s">
        <v>2</v>
      </c>
      <c r="G2" s="12" t="s">
        <v>3</v>
      </c>
      <c r="H2" s="12" t="s">
        <v>5</v>
      </c>
      <c r="I2" s="12" t="s">
        <v>320</v>
      </c>
      <c r="J2" s="12" t="s">
        <v>6</v>
      </c>
      <c r="K2" s="13" t="s">
        <v>7</v>
      </c>
      <c r="L2" s="13" t="s">
        <v>8</v>
      </c>
      <c r="M2" s="11" t="s">
        <v>9</v>
      </c>
    </row>
    <row r="3" spans="2:13" x14ac:dyDescent="0.3">
      <c r="B3" s="3" t="s">
        <v>452</v>
      </c>
      <c r="C3" s="5" t="s">
        <v>69</v>
      </c>
      <c r="D3" s="2" t="s">
        <v>145</v>
      </c>
      <c r="E3" s="3" t="s">
        <v>22</v>
      </c>
      <c r="F3" s="3" t="s">
        <v>146</v>
      </c>
      <c r="G3" s="3" t="s">
        <v>13</v>
      </c>
      <c r="H3" s="3">
        <v>20000</v>
      </c>
      <c r="I3" s="3" t="s">
        <v>11</v>
      </c>
      <c r="J3" s="3">
        <v>5</v>
      </c>
      <c r="K3" s="4">
        <v>52</v>
      </c>
      <c r="L3" s="4">
        <v>260</v>
      </c>
      <c r="M3" s="14"/>
    </row>
    <row r="4" spans="2:13" x14ac:dyDescent="0.3">
      <c r="B4" s="3" t="s">
        <v>426</v>
      </c>
      <c r="C4" s="5" t="s">
        <v>69</v>
      </c>
      <c r="D4" s="2" t="s">
        <v>103</v>
      </c>
      <c r="E4" s="3" t="s">
        <v>12</v>
      </c>
      <c r="F4" s="3" t="s">
        <v>104</v>
      </c>
      <c r="G4" s="3" t="s">
        <v>13</v>
      </c>
      <c r="H4" s="3"/>
      <c r="I4" s="3" t="s">
        <v>11</v>
      </c>
      <c r="J4" s="3">
        <v>2</v>
      </c>
      <c r="K4" s="4">
        <v>26</v>
      </c>
      <c r="L4" s="4">
        <v>52</v>
      </c>
      <c r="M4" s="14"/>
    </row>
    <row r="5" spans="2:13" x14ac:dyDescent="0.3">
      <c r="B5" s="3" t="s">
        <v>411</v>
      </c>
      <c r="C5" s="5" t="s">
        <v>69</v>
      </c>
      <c r="D5" s="2" t="s">
        <v>187</v>
      </c>
      <c r="E5" s="3" t="s">
        <v>67</v>
      </c>
      <c r="F5" s="3" t="s">
        <v>188</v>
      </c>
      <c r="G5" s="3" t="s">
        <v>13</v>
      </c>
      <c r="H5" s="3"/>
      <c r="I5" s="3" t="s">
        <v>11</v>
      </c>
      <c r="J5" s="3">
        <v>3</v>
      </c>
      <c r="K5" s="4">
        <v>4</v>
      </c>
      <c r="L5" s="4">
        <v>12</v>
      </c>
      <c r="M5" s="14"/>
    </row>
    <row r="6" spans="2:13" x14ac:dyDescent="0.3">
      <c r="B6" s="3" t="s">
        <v>448</v>
      </c>
      <c r="C6" s="5" t="s">
        <v>69</v>
      </c>
      <c r="D6" s="2" t="s">
        <v>114</v>
      </c>
      <c r="E6" s="3" t="s">
        <v>12</v>
      </c>
      <c r="F6" s="3" t="s">
        <v>115</v>
      </c>
      <c r="G6" s="3" t="s">
        <v>13</v>
      </c>
      <c r="H6" s="3">
        <v>1600</v>
      </c>
      <c r="I6" s="3" t="s">
        <v>11</v>
      </c>
      <c r="J6" s="3">
        <v>3</v>
      </c>
      <c r="K6" s="4">
        <v>49</v>
      </c>
      <c r="L6" s="4">
        <v>147</v>
      </c>
      <c r="M6" s="14"/>
    </row>
    <row r="7" spans="2:13" x14ac:dyDescent="0.3">
      <c r="B7" s="3" t="s">
        <v>453</v>
      </c>
      <c r="C7" s="5" t="s">
        <v>69</v>
      </c>
      <c r="D7" s="2" t="s">
        <v>116</v>
      </c>
      <c r="E7" s="3" t="s">
        <v>12</v>
      </c>
      <c r="F7" s="3" t="s">
        <v>117</v>
      </c>
      <c r="G7" s="3" t="s">
        <v>13</v>
      </c>
      <c r="H7" s="3">
        <v>1500</v>
      </c>
      <c r="I7" s="3" t="s">
        <v>11</v>
      </c>
      <c r="J7" s="3">
        <v>3</v>
      </c>
      <c r="K7" s="4">
        <v>54.98</v>
      </c>
      <c r="L7" s="4">
        <v>164.94</v>
      </c>
      <c r="M7" s="14"/>
    </row>
    <row r="8" spans="2:13" x14ac:dyDescent="0.3">
      <c r="B8" s="3" t="s">
        <v>482</v>
      </c>
      <c r="C8" s="5" t="s">
        <v>69</v>
      </c>
      <c r="D8" s="2" t="s">
        <v>147</v>
      </c>
      <c r="E8" s="3" t="s">
        <v>22</v>
      </c>
      <c r="F8" s="3" t="s">
        <v>148</v>
      </c>
      <c r="G8" s="3" t="s">
        <v>13</v>
      </c>
      <c r="H8" s="3">
        <v>95000</v>
      </c>
      <c r="I8" s="3" t="s">
        <v>11</v>
      </c>
      <c r="J8" s="3">
        <v>5</v>
      </c>
      <c r="K8" s="4">
        <v>80</v>
      </c>
      <c r="L8" s="4">
        <v>400</v>
      </c>
      <c r="M8" s="14"/>
    </row>
    <row r="9" spans="2:13" x14ac:dyDescent="0.3">
      <c r="B9" s="3" t="s">
        <v>438</v>
      </c>
      <c r="C9" s="5" t="s">
        <v>69</v>
      </c>
      <c r="D9" s="2" t="s">
        <v>179</v>
      </c>
      <c r="E9" s="3" t="s">
        <v>23</v>
      </c>
      <c r="F9" s="3" t="s">
        <v>177</v>
      </c>
      <c r="G9" s="3" t="s">
        <v>13</v>
      </c>
      <c r="H9" s="3">
        <v>1000</v>
      </c>
      <c r="I9" s="3" t="s">
        <v>11</v>
      </c>
      <c r="J9" s="3">
        <v>4</v>
      </c>
      <c r="K9" s="4">
        <v>40</v>
      </c>
      <c r="L9" s="4">
        <v>160</v>
      </c>
      <c r="M9" s="14"/>
    </row>
    <row r="10" spans="2:13" x14ac:dyDescent="0.3">
      <c r="B10" s="3" t="s">
        <v>439</v>
      </c>
      <c r="C10" s="5" t="s">
        <v>69</v>
      </c>
      <c r="D10" s="2" t="s">
        <v>178</v>
      </c>
      <c r="E10" s="3" t="s">
        <v>23</v>
      </c>
      <c r="F10" s="3" t="s">
        <v>177</v>
      </c>
      <c r="G10" s="3" t="s">
        <v>13</v>
      </c>
      <c r="H10" s="3">
        <v>1000</v>
      </c>
      <c r="I10" s="3" t="s">
        <v>11</v>
      </c>
      <c r="J10" s="3">
        <v>4</v>
      </c>
      <c r="K10" s="4">
        <v>40</v>
      </c>
      <c r="L10" s="4">
        <v>160</v>
      </c>
      <c r="M10" s="14"/>
    </row>
    <row r="11" spans="2:13" x14ac:dyDescent="0.3">
      <c r="B11" s="3" t="s">
        <v>440</v>
      </c>
      <c r="C11" s="5" t="s">
        <v>69</v>
      </c>
      <c r="D11" s="2" t="s">
        <v>176</v>
      </c>
      <c r="E11" s="3" t="s">
        <v>23</v>
      </c>
      <c r="F11" s="3" t="s">
        <v>177</v>
      </c>
      <c r="G11" s="3" t="s">
        <v>13</v>
      </c>
      <c r="H11" s="3">
        <v>1000</v>
      </c>
      <c r="I11" s="3" t="s">
        <v>11</v>
      </c>
      <c r="J11" s="3">
        <v>4</v>
      </c>
      <c r="K11" s="4">
        <v>40</v>
      </c>
      <c r="L11" s="4">
        <v>160</v>
      </c>
      <c r="M11" s="14"/>
    </row>
    <row r="12" spans="2:13" x14ac:dyDescent="0.3">
      <c r="B12" s="3" t="s">
        <v>441</v>
      </c>
      <c r="C12" s="5" t="s">
        <v>69</v>
      </c>
      <c r="D12" s="2" t="s">
        <v>180</v>
      </c>
      <c r="E12" s="3" t="s">
        <v>23</v>
      </c>
      <c r="F12" s="3" t="s">
        <v>177</v>
      </c>
      <c r="G12" s="3" t="s">
        <v>13</v>
      </c>
      <c r="H12" s="3">
        <v>1000</v>
      </c>
      <c r="I12" s="3" t="s">
        <v>11</v>
      </c>
      <c r="J12" s="3">
        <v>4</v>
      </c>
      <c r="K12" s="4">
        <v>40</v>
      </c>
      <c r="L12" s="4">
        <v>160</v>
      </c>
      <c r="M12" s="14"/>
    </row>
    <row r="13" spans="2:13" x14ac:dyDescent="0.3">
      <c r="B13" s="3" t="s">
        <v>418</v>
      </c>
      <c r="C13" s="5" t="s">
        <v>69</v>
      </c>
      <c r="D13" s="2" t="s">
        <v>73</v>
      </c>
      <c r="E13" s="3" t="s">
        <v>36</v>
      </c>
      <c r="F13" s="3" t="s">
        <v>74</v>
      </c>
      <c r="G13" s="3" t="s">
        <v>13</v>
      </c>
      <c r="H13" s="3"/>
      <c r="I13" s="3" t="s">
        <v>11</v>
      </c>
      <c r="J13" s="3">
        <v>3</v>
      </c>
      <c r="K13" s="4">
        <v>10.5</v>
      </c>
      <c r="L13" s="4">
        <v>31.5</v>
      </c>
      <c r="M13" s="14"/>
    </row>
    <row r="14" spans="2:13" x14ac:dyDescent="0.3">
      <c r="B14" s="3" t="s">
        <v>419</v>
      </c>
      <c r="C14" s="6" t="s">
        <v>69</v>
      </c>
      <c r="D14" s="10" t="s">
        <v>70</v>
      </c>
      <c r="E14" s="3" t="s">
        <v>36</v>
      </c>
      <c r="F14" s="9" t="s">
        <v>71</v>
      </c>
      <c r="G14" s="9" t="s">
        <v>13</v>
      </c>
      <c r="H14" s="3"/>
      <c r="I14" s="9" t="s">
        <v>11</v>
      </c>
      <c r="J14" s="9">
        <v>3</v>
      </c>
      <c r="K14" s="8">
        <v>10.59</v>
      </c>
      <c r="L14" s="8">
        <v>31.77</v>
      </c>
      <c r="M14" s="7"/>
    </row>
    <row r="15" spans="2:13" x14ac:dyDescent="0.3">
      <c r="B15" s="3" t="s">
        <v>423</v>
      </c>
      <c r="C15" s="5" t="s">
        <v>69</v>
      </c>
      <c r="D15" s="2" t="s">
        <v>72</v>
      </c>
      <c r="E15" s="3" t="s">
        <v>36</v>
      </c>
      <c r="F15" s="3" t="s">
        <v>71</v>
      </c>
      <c r="G15" s="3" t="s">
        <v>13</v>
      </c>
      <c r="H15" s="3"/>
      <c r="I15" s="3" t="s">
        <v>11</v>
      </c>
      <c r="J15" s="3">
        <v>1</v>
      </c>
      <c r="K15" s="4">
        <v>12.98</v>
      </c>
      <c r="L15" s="4">
        <v>12.98</v>
      </c>
      <c r="M15" s="14"/>
    </row>
    <row r="16" spans="2:13" x14ac:dyDescent="0.3">
      <c r="B16" s="3" t="s">
        <v>457</v>
      </c>
      <c r="C16" s="5" t="s">
        <v>69</v>
      </c>
      <c r="D16" s="2" t="s">
        <v>175</v>
      </c>
      <c r="E16" s="3" t="s">
        <v>23</v>
      </c>
      <c r="F16" s="3" t="s">
        <v>174</v>
      </c>
      <c r="G16" s="3" t="s">
        <v>13</v>
      </c>
      <c r="H16" s="3">
        <v>2000</v>
      </c>
      <c r="I16" s="3" t="s">
        <v>11</v>
      </c>
      <c r="J16" s="3">
        <v>2</v>
      </c>
      <c r="K16" s="4">
        <v>60</v>
      </c>
      <c r="L16" s="4">
        <v>120</v>
      </c>
      <c r="M16" s="14"/>
    </row>
    <row r="17" spans="2:13" x14ac:dyDescent="0.3">
      <c r="B17" s="3" t="s">
        <v>463</v>
      </c>
      <c r="C17" s="5" t="s">
        <v>69</v>
      </c>
      <c r="D17" s="2" t="s">
        <v>173</v>
      </c>
      <c r="E17" s="3" t="s">
        <v>23</v>
      </c>
      <c r="F17" s="3" t="s">
        <v>174</v>
      </c>
      <c r="G17" s="3" t="s">
        <v>13</v>
      </c>
      <c r="H17" s="3">
        <v>2000</v>
      </c>
      <c r="I17" s="3" t="s">
        <v>11</v>
      </c>
      <c r="J17" s="3">
        <v>5</v>
      </c>
      <c r="K17" s="4">
        <v>63</v>
      </c>
      <c r="L17" s="4">
        <v>315</v>
      </c>
      <c r="M17" s="14"/>
    </row>
    <row r="18" spans="2:13" x14ac:dyDescent="0.3">
      <c r="B18" s="3" t="s">
        <v>416</v>
      </c>
      <c r="C18" s="5" t="s">
        <v>69</v>
      </c>
      <c r="D18" s="2" t="s">
        <v>84</v>
      </c>
      <c r="E18" s="3" t="s">
        <v>12</v>
      </c>
      <c r="F18" s="3" t="s">
        <v>85</v>
      </c>
      <c r="G18" s="3" t="s">
        <v>13</v>
      </c>
      <c r="H18" s="3"/>
      <c r="I18" s="3" t="s">
        <v>11</v>
      </c>
      <c r="J18" s="3">
        <v>2</v>
      </c>
      <c r="K18" s="4">
        <v>8.92</v>
      </c>
      <c r="L18" s="4">
        <v>17.84</v>
      </c>
      <c r="M18" s="14"/>
    </row>
    <row r="19" spans="2:13" x14ac:dyDescent="0.3">
      <c r="B19" s="3" t="s">
        <v>445</v>
      </c>
      <c r="C19" s="5" t="s">
        <v>69</v>
      </c>
      <c r="D19" s="2" t="s">
        <v>126</v>
      </c>
      <c r="E19" s="3" t="s">
        <v>12</v>
      </c>
      <c r="F19" s="3" t="s">
        <v>127</v>
      </c>
      <c r="G19" s="3" t="s">
        <v>13</v>
      </c>
      <c r="H19" s="3"/>
      <c r="I19" s="3" t="s">
        <v>11</v>
      </c>
      <c r="J19" s="3">
        <v>3</v>
      </c>
      <c r="K19" s="4">
        <v>41.95</v>
      </c>
      <c r="L19" s="4">
        <v>125.85</v>
      </c>
      <c r="M19" s="14"/>
    </row>
    <row r="20" spans="2:13" x14ac:dyDescent="0.3">
      <c r="B20" s="3" t="s">
        <v>435</v>
      </c>
      <c r="C20" s="5" t="s">
        <v>69</v>
      </c>
      <c r="D20" s="2" t="s">
        <v>124</v>
      </c>
      <c r="E20" s="3" t="s">
        <v>12</v>
      </c>
      <c r="F20" s="3" t="s">
        <v>125</v>
      </c>
      <c r="G20" s="3" t="s">
        <v>13</v>
      </c>
      <c r="H20" s="3"/>
      <c r="I20" s="3" t="s">
        <v>11</v>
      </c>
      <c r="J20" s="3">
        <v>2</v>
      </c>
      <c r="K20" s="4">
        <v>35</v>
      </c>
      <c r="L20" s="4">
        <v>70</v>
      </c>
      <c r="M20" s="14"/>
    </row>
    <row r="21" spans="2:13" x14ac:dyDescent="0.3">
      <c r="B21" s="3" t="s">
        <v>478</v>
      </c>
      <c r="C21" s="5" t="s">
        <v>69</v>
      </c>
      <c r="D21" s="2" t="s">
        <v>140</v>
      </c>
      <c r="E21" s="3" t="s">
        <v>21</v>
      </c>
      <c r="F21" s="3" t="s">
        <v>141</v>
      </c>
      <c r="G21" s="3" t="s">
        <v>13</v>
      </c>
      <c r="H21" s="3">
        <v>100000</v>
      </c>
      <c r="I21" s="3" t="s">
        <v>11</v>
      </c>
      <c r="J21" s="3">
        <v>11</v>
      </c>
      <c r="K21" s="4">
        <v>73</v>
      </c>
      <c r="L21" s="4">
        <v>803</v>
      </c>
      <c r="M21" s="14"/>
    </row>
    <row r="22" spans="2:13" x14ac:dyDescent="0.3">
      <c r="B22" s="3" t="s">
        <v>450</v>
      </c>
      <c r="C22" s="5" t="s">
        <v>69</v>
      </c>
      <c r="D22" s="2" t="s">
        <v>133</v>
      </c>
      <c r="E22" s="3" t="s">
        <v>21</v>
      </c>
      <c r="F22" s="3" t="s">
        <v>134</v>
      </c>
      <c r="G22" s="3" t="s">
        <v>13</v>
      </c>
      <c r="H22" s="3">
        <v>2200</v>
      </c>
      <c r="I22" s="3" t="s">
        <v>11</v>
      </c>
      <c r="J22" s="3">
        <v>129</v>
      </c>
      <c r="K22" s="4">
        <v>50</v>
      </c>
      <c r="L22" s="4">
        <v>6450</v>
      </c>
      <c r="M22" s="14"/>
    </row>
    <row r="23" spans="2:13" x14ac:dyDescent="0.3">
      <c r="B23" s="3" t="s">
        <v>475</v>
      </c>
      <c r="C23" s="5" t="s">
        <v>69</v>
      </c>
      <c r="D23" s="2" t="s">
        <v>136</v>
      </c>
      <c r="E23" s="3" t="s">
        <v>21</v>
      </c>
      <c r="F23" s="3" t="s">
        <v>134</v>
      </c>
      <c r="G23" s="3" t="s">
        <v>13</v>
      </c>
      <c r="H23" s="3">
        <v>2000</v>
      </c>
      <c r="I23" s="3" t="s">
        <v>11</v>
      </c>
      <c r="J23" s="3">
        <v>39</v>
      </c>
      <c r="K23" s="4">
        <v>72.64</v>
      </c>
      <c r="L23" s="4">
        <v>2832.96</v>
      </c>
      <c r="M23" s="14"/>
    </row>
    <row r="24" spans="2:13" x14ac:dyDescent="0.3">
      <c r="B24" s="3" t="s">
        <v>476</v>
      </c>
      <c r="C24" s="5" t="s">
        <v>69</v>
      </c>
      <c r="D24" s="2" t="s">
        <v>135</v>
      </c>
      <c r="E24" s="3" t="s">
        <v>21</v>
      </c>
      <c r="F24" s="3" t="s">
        <v>134</v>
      </c>
      <c r="G24" s="3" t="s">
        <v>13</v>
      </c>
      <c r="H24" s="3">
        <v>2000</v>
      </c>
      <c r="I24" s="3" t="s">
        <v>11</v>
      </c>
      <c r="J24" s="3">
        <v>43</v>
      </c>
      <c r="K24" s="4">
        <v>72.64</v>
      </c>
      <c r="L24" s="4">
        <v>3123.52</v>
      </c>
      <c r="M24" s="14"/>
    </row>
    <row r="25" spans="2:13" x14ac:dyDescent="0.3">
      <c r="B25" s="3" t="s">
        <v>477</v>
      </c>
      <c r="C25" s="5" t="s">
        <v>69</v>
      </c>
      <c r="D25" s="2" t="s">
        <v>137</v>
      </c>
      <c r="E25" s="3" t="s">
        <v>21</v>
      </c>
      <c r="F25" s="3" t="s">
        <v>134</v>
      </c>
      <c r="G25" s="3" t="s">
        <v>13</v>
      </c>
      <c r="H25" s="3">
        <v>2000</v>
      </c>
      <c r="I25" s="3" t="s">
        <v>11</v>
      </c>
      <c r="J25" s="3">
        <v>35</v>
      </c>
      <c r="K25" s="4">
        <v>72.64</v>
      </c>
      <c r="L25" s="4">
        <v>2542.4</v>
      </c>
      <c r="M25" s="14"/>
    </row>
    <row r="26" spans="2:13" x14ac:dyDescent="0.3">
      <c r="B26" s="3" t="s">
        <v>480</v>
      </c>
      <c r="C26" s="5" t="s">
        <v>69</v>
      </c>
      <c r="D26" s="2" t="s">
        <v>142</v>
      </c>
      <c r="E26" s="3" t="s">
        <v>21</v>
      </c>
      <c r="F26" s="3" t="s">
        <v>134</v>
      </c>
      <c r="G26" s="3" t="s">
        <v>13</v>
      </c>
      <c r="H26" s="3">
        <v>100000</v>
      </c>
      <c r="I26" s="3" t="s">
        <v>11</v>
      </c>
      <c r="J26" s="3">
        <v>10</v>
      </c>
      <c r="K26" s="4">
        <v>75</v>
      </c>
      <c r="L26" s="4">
        <v>750</v>
      </c>
      <c r="M26" s="14"/>
    </row>
    <row r="27" spans="2:13" x14ac:dyDescent="0.3">
      <c r="B27" s="3" t="s">
        <v>454</v>
      </c>
      <c r="C27" s="5" t="s">
        <v>69</v>
      </c>
      <c r="D27" s="2" t="s">
        <v>138</v>
      </c>
      <c r="E27" s="3" t="s">
        <v>21</v>
      </c>
      <c r="F27" s="3" t="s">
        <v>139</v>
      </c>
      <c r="G27" s="3" t="s">
        <v>13</v>
      </c>
      <c r="H27" s="3">
        <v>2000</v>
      </c>
      <c r="I27" s="3" t="s">
        <v>11</v>
      </c>
      <c r="J27" s="3">
        <v>148</v>
      </c>
      <c r="K27" s="4">
        <v>54.98</v>
      </c>
      <c r="L27" s="4">
        <v>8137.04</v>
      </c>
      <c r="M27" s="14"/>
    </row>
    <row r="28" spans="2:13" x14ac:dyDescent="0.3">
      <c r="B28" s="3" t="s">
        <v>489</v>
      </c>
      <c r="C28" s="5" t="s">
        <v>69</v>
      </c>
      <c r="D28" s="2" t="s">
        <v>143</v>
      </c>
      <c r="E28" s="3" t="s">
        <v>21</v>
      </c>
      <c r="F28" s="3" t="s">
        <v>144</v>
      </c>
      <c r="G28" s="3" t="s">
        <v>13</v>
      </c>
      <c r="H28" s="3">
        <v>100000</v>
      </c>
      <c r="I28" s="3" t="s">
        <v>11</v>
      </c>
      <c r="J28" s="3">
        <v>12</v>
      </c>
      <c r="K28" s="4">
        <v>118</v>
      </c>
      <c r="L28" s="4">
        <v>1416</v>
      </c>
      <c r="M28" s="14"/>
    </row>
    <row r="29" spans="2:13" x14ac:dyDescent="0.3">
      <c r="B29" s="3" t="s">
        <v>412</v>
      </c>
      <c r="C29" s="5" t="s">
        <v>69</v>
      </c>
      <c r="D29" s="2" t="s">
        <v>185</v>
      </c>
      <c r="E29" s="3" t="s">
        <v>67</v>
      </c>
      <c r="F29" s="3" t="s">
        <v>186</v>
      </c>
      <c r="G29" s="3" t="s">
        <v>13</v>
      </c>
      <c r="H29" s="3"/>
      <c r="I29" s="3" t="s">
        <v>11</v>
      </c>
      <c r="J29" s="3">
        <v>3</v>
      </c>
      <c r="K29" s="4">
        <v>5</v>
      </c>
      <c r="L29" s="4">
        <v>15</v>
      </c>
      <c r="M29" s="14"/>
    </row>
    <row r="30" spans="2:13" x14ac:dyDescent="0.3">
      <c r="B30" s="3" t="s">
        <v>428</v>
      </c>
      <c r="C30" s="5" t="s">
        <v>69</v>
      </c>
      <c r="D30" s="2" t="s">
        <v>75</v>
      </c>
      <c r="E30" s="3" t="s">
        <v>20</v>
      </c>
      <c r="F30" s="3" t="s">
        <v>76</v>
      </c>
      <c r="G30" s="3" t="s">
        <v>13</v>
      </c>
      <c r="H30" s="3"/>
      <c r="I30" s="3" t="s">
        <v>11</v>
      </c>
      <c r="J30" s="3">
        <v>17</v>
      </c>
      <c r="K30" s="4">
        <v>34</v>
      </c>
      <c r="L30" s="4">
        <v>578</v>
      </c>
      <c r="M30" s="14"/>
    </row>
    <row r="31" spans="2:13" x14ac:dyDescent="0.3">
      <c r="B31" s="3" t="s">
        <v>429</v>
      </c>
      <c r="C31" s="5" t="s">
        <v>69</v>
      </c>
      <c r="D31" s="2" t="s">
        <v>78</v>
      </c>
      <c r="E31" s="3" t="s">
        <v>20</v>
      </c>
      <c r="F31" s="3" t="s">
        <v>76</v>
      </c>
      <c r="G31" s="3" t="s">
        <v>13</v>
      </c>
      <c r="H31" s="3"/>
      <c r="I31" s="3" t="s">
        <v>11</v>
      </c>
      <c r="J31" s="3">
        <v>17</v>
      </c>
      <c r="K31" s="4">
        <v>34</v>
      </c>
      <c r="L31" s="4">
        <v>578</v>
      </c>
      <c r="M31" s="14"/>
    </row>
    <row r="32" spans="2:13" x14ac:dyDescent="0.3">
      <c r="B32" s="3" t="s">
        <v>430</v>
      </c>
      <c r="C32" s="5" t="s">
        <v>69</v>
      </c>
      <c r="D32" s="2" t="s">
        <v>77</v>
      </c>
      <c r="E32" s="3" t="s">
        <v>20</v>
      </c>
      <c r="F32" s="3" t="s">
        <v>76</v>
      </c>
      <c r="G32" s="3" t="s">
        <v>13</v>
      </c>
      <c r="H32" s="3"/>
      <c r="I32" s="3" t="s">
        <v>11</v>
      </c>
      <c r="J32" s="3">
        <v>17</v>
      </c>
      <c r="K32" s="4">
        <v>34</v>
      </c>
      <c r="L32" s="4">
        <v>578</v>
      </c>
      <c r="M32" s="14"/>
    </row>
    <row r="33" spans="2:13" x14ac:dyDescent="0.3">
      <c r="B33" s="3" t="s">
        <v>431</v>
      </c>
      <c r="C33" s="5" t="s">
        <v>69</v>
      </c>
      <c r="D33" s="2" t="s">
        <v>80</v>
      </c>
      <c r="E33" s="3" t="s">
        <v>20</v>
      </c>
      <c r="F33" s="3" t="s">
        <v>76</v>
      </c>
      <c r="G33" s="3" t="s">
        <v>13</v>
      </c>
      <c r="H33" s="3"/>
      <c r="I33" s="3" t="s">
        <v>11</v>
      </c>
      <c r="J33" s="3">
        <v>17</v>
      </c>
      <c r="K33" s="4">
        <v>34</v>
      </c>
      <c r="L33" s="4">
        <v>578</v>
      </c>
      <c r="M33" s="14"/>
    </row>
    <row r="34" spans="2:13" x14ac:dyDescent="0.3">
      <c r="B34" s="3" t="s">
        <v>432</v>
      </c>
      <c r="C34" s="5" t="s">
        <v>69</v>
      </c>
      <c r="D34" s="2" t="s">
        <v>79</v>
      </c>
      <c r="E34" s="3" t="s">
        <v>20</v>
      </c>
      <c r="F34" s="3" t="s">
        <v>76</v>
      </c>
      <c r="G34" s="3" t="s">
        <v>13</v>
      </c>
      <c r="H34" s="3"/>
      <c r="I34" s="3" t="s">
        <v>11</v>
      </c>
      <c r="J34" s="3">
        <v>17</v>
      </c>
      <c r="K34" s="4">
        <v>34</v>
      </c>
      <c r="L34" s="4">
        <v>578</v>
      </c>
      <c r="M34" s="14"/>
    </row>
    <row r="35" spans="2:13" x14ac:dyDescent="0.3">
      <c r="B35" s="3" t="s">
        <v>433</v>
      </c>
      <c r="C35" s="5" t="s">
        <v>69</v>
      </c>
      <c r="D35" s="2" t="s">
        <v>81</v>
      </c>
      <c r="E35" s="3" t="s">
        <v>20</v>
      </c>
      <c r="F35" s="3" t="s">
        <v>76</v>
      </c>
      <c r="G35" s="3" t="s">
        <v>13</v>
      </c>
      <c r="H35" s="3"/>
      <c r="I35" s="3" t="s">
        <v>11</v>
      </c>
      <c r="J35" s="3">
        <v>17</v>
      </c>
      <c r="K35" s="4">
        <v>34</v>
      </c>
      <c r="L35" s="4">
        <v>578</v>
      </c>
      <c r="M35" s="14"/>
    </row>
    <row r="36" spans="2:13" x14ac:dyDescent="0.3">
      <c r="B36" s="3" t="s">
        <v>413</v>
      </c>
      <c r="C36" s="5" t="s">
        <v>69</v>
      </c>
      <c r="D36" s="2" t="s">
        <v>191</v>
      </c>
      <c r="E36" s="3" t="s">
        <v>67</v>
      </c>
      <c r="F36" s="3" t="s">
        <v>194</v>
      </c>
      <c r="G36" s="3" t="s">
        <v>13</v>
      </c>
      <c r="H36" s="3"/>
      <c r="I36" s="3" t="s">
        <v>11</v>
      </c>
      <c r="J36" s="3">
        <v>20</v>
      </c>
      <c r="K36" s="4">
        <v>6</v>
      </c>
      <c r="L36" s="4">
        <v>120</v>
      </c>
      <c r="M36" s="14"/>
    </row>
    <row r="37" spans="2:13" x14ac:dyDescent="0.3">
      <c r="B37" s="3" t="s">
        <v>469</v>
      </c>
      <c r="C37" s="24" t="s">
        <v>69</v>
      </c>
      <c r="D37" s="18" t="s">
        <v>96</v>
      </c>
      <c r="E37" s="17" t="s">
        <v>12</v>
      </c>
      <c r="F37" s="17" t="s">
        <v>97</v>
      </c>
      <c r="G37" s="3" t="s">
        <v>13</v>
      </c>
      <c r="H37" s="17">
        <v>2000</v>
      </c>
      <c r="I37" s="3" t="s">
        <v>11</v>
      </c>
      <c r="J37" s="17">
        <v>105</v>
      </c>
      <c r="K37" s="4">
        <v>67</v>
      </c>
      <c r="L37" s="4">
        <v>7035</v>
      </c>
      <c r="M37" s="14"/>
    </row>
    <row r="38" spans="2:13" x14ac:dyDescent="0.3">
      <c r="B38" s="3" t="s">
        <v>486</v>
      </c>
      <c r="C38" s="24" t="s">
        <v>69</v>
      </c>
      <c r="D38" s="18" t="s">
        <v>96</v>
      </c>
      <c r="E38" s="17" t="s">
        <v>12</v>
      </c>
      <c r="F38" s="17" t="s">
        <v>691</v>
      </c>
      <c r="G38" s="3" t="s">
        <v>13</v>
      </c>
      <c r="H38" s="17">
        <v>2000</v>
      </c>
      <c r="I38" s="3" t="s">
        <v>11</v>
      </c>
      <c r="J38" s="17">
        <v>105</v>
      </c>
      <c r="K38" s="4">
        <v>98.87</v>
      </c>
      <c r="L38" s="4">
        <v>10381.35</v>
      </c>
      <c r="M38" s="14"/>
    </row>
    <row r="39" spans="2:13" x14ac:dyDescent="0.3">
      <c r="B39" s="3" t="s">
        <v>427</v>
      </c>
      <c r="C39" s="5" t="s">
        <v>69</v>
      </c>
      <c r="D39" s="2" t="s">
        <v>101</v>
      </c>
      <c r="E39" s="3" t="s">
        <v>12</v>
      </c>
      <c r="F39" s="3" t="s">
        <v>102</v>
      </c>
      <c r="G39" s="3" t="s">
        <v>13</v>
      </c>
      <c r="H39" s="3"/>
      <c r="I39" s="3" t="s">
        <v>11</v>
      </c>
      <c r="J39" s="3">
        <v>3</v>
      </c>
      <c r="K39" s="4">
        <v>28</v>
      </c>
      <c r="L39" s="4">
        <v>84</v>
      </c>
      <c r="M39" s="14"/>
    </row>
    <row r="40" spans="2:13" x14ac:dyDescent="0.3">
      <c r="B40" s="3" t="s">
        <v>424</v>
      </c>
      <c r="C40" s="5" t="s">
        <v>69</v>
      </c>
      <c r="D40" s="2" t="s">
        <v>105</v>
      </c>
      <c r="E40" s="3" t="s">
        <v>12</v>
      </c>
      <c r="F40" s="3" t="s">
        <v>106</v>
      </c>
      <c r="G40" s="3" t="s">
        <v>13</v>
      </c>
      <c r="H40" s="3"/>
      <c r="I40" s="3" t="s">
        <v>11</v>
      </c>
      <c r="J40" s="3">
        <v>3</v>
      </c>
      <c r="K40" s="4">
        <v>17.5</v>
      </c>
      <c r="L40" s="4">
        <v>52.5</v>
      </c>
      <c r="M40" s="14"/>
    </row>
    <row r="41" spans="2:13" x14ac:dyDescent="0.3">
      <c r="B41" s="3" t="s">
        <v>422</v>
      </c>
      <c r="C41" s="5" t="s">
        <v>69</v>
      </c>
      <c r="D41" s="2" t="s">
        <v>107</v>
      </c>
      <c r="E41" s="3" t="s">
        <v>12</v>
      </c>
      <c r="F41" s="3" t="s">
        <v>108</v>
      </c>
      <c r="G41" s="3" t="s">
        <v>13</v>
      </c>
      <c r="H41" s="3"/>
      <c r="I41" s="3" t="s">
        <v>11</v>
      </c>
      <c r="J41" s="3">
        <v>5</v>
      </c>
      <c r="K41" s="4">
        <v>12.9</v>
      </c>
      <c r="L41" s="4">
        <v>64.5</v>
      </c>
      <c r="M41" s="14"/>
    </row>
    <row r="42" spans="2:13" x14ac:dyDescent="0.3">
      <c r="B42" s="3" t="s">
        <v>436</v>
      </c>
      <c r="C42" s="5" t="s">
        <v>69</v>
      </c>
      <c r="D42" s="2" t="s">
        <v>98</v>
      </c>
      <c r="E42" s="3" t="s">
        <v>12</v>
      </c>
      <c r="F42" s="3" t="s">
        <v>93</v>
      </c>
      <c r="G42" s="3" t="s">
        <v>13</v>
      </c>
      <c r="H42" s="3">
        <v>1500</v>
      </c>
      <c r="I42" s="3" t="s">
        <v>11</v>
      </c>
      <c r="J42" s="3">
        <v>7</v>
      </c>
      <c r="K42" s="4">
        <v>35</v>
      </c>
      <c r="L42" s="4">
        <v>245</v>
      </c>
      <c r="M42" s="14"/>
    </row>
    <row r="43" spans="2:13" x14ac:dyDescent="0.3">
      <c r="B43" s="3" t="s">
        <v>437</v>
      </c>
      <c r="C43" s="5" t="s">
        <v>69</v>
      </c>
      <c r="D43" s="2" t="s">
        <v>95</v>
      </c>
      <c r="E43" s="3" t="s">
        <v>12</v>
      </c>
      <c r="F43" s="3" t="s">
        <v>93</v>
      </c>
      <c r="G43" s="3" t="s">
        <v>13</v>
      </c>
      <c r="H43" s="3">
        <v>1500</v>
      </c>
      <c r="I43" s="3" t="s">
        <v>11</v>
      </c>
      <c r="J43" s="3">
        <v>12</v>
      </c>
      <c r="K43" s="4">
        <v>35</v>
      </c>
      <c r="L43" s="4">
        <v>420</v>
      </c>
      <c r="M43" s="14"/>
    </row>
    <row r="44" spans="2:13" x14ac:dyDescent="0.3">
      <c r="B44" s="3" t="s">
        <v>442</v>
      </c>
      <c r="C44" s="5" t="s">
        <v>69</v>
      </c>
      <c r="D44" s="2" t="s">
        <v>94</v>
      </c>
      <c r="E44" s="3" t="s">
        <v>12</v>
      </c>
      <c r="F44" s="3" t="s">
        <v>93</v>
      </c>
      <c r="G44" s="3" t="s">
        <v>13</v>
      </c>
      <c r="H44" s="3">
        <v>1500</v>
      </c>
      <c r="I44" s="3" t="s">
        <v>11</v>
      </c>
      <c r="J44" s="3">
        <v>18</v>
      </c>
      <c r="K44" s="4">
        <v>40</v>
      </c>
      <c r="L44" s="4">
        <v>720</v>
      </c>
      <c r="M44" s="14"/>
    </row>
    <row r="45" spans="2:13" x14ac:dyDescent="0.3">
      <c r="B45" s="3" t="s">
        <v>446</v>
      </c>
      <c r="C45" s="5" t="s">
        <v>69</v>
      </c>
      <c r="D45" s="2" t="s">
        <v>92</v>
      </c>
      <c r="E45" s="3" t="s">
        <v>12</v>
      </c>
      <c r="F45" s="3" t="s">
        <v>93</v>
      </c>
      <c r="G45" s="3" t="s">
        <v>13</v>
      </c>
      <c r="H45" s="3">
        <v>1500</v>
      </c>
      <c r="I45" s="3" t="s">
        <v>11</v>
      </c>
      <c r="J45" s="3">
        <v>20</v>
      </c>
      <c r="K45" s="4">
        <v>43</v>
      </c>
      <c r="L45" s="4">
        <v>860</v>
      </c>
      <c r="M45" s="14"/>
    </row>
    <row r="46" spans="2:13" x14ac:dyDescent="0.3">
      <c r="B46" s="3" t="s">
        <v>456</v>
      </c>
      <c r="C46" s="5" t="s">
        <v>69</v>
      </c>
      <c r="D46" s="2" t="s">
        <v>90</v>
      </c>
      <c r="E46" s="3" t="s">
        <v>12</v>
      </c>
      <c r="F46" s="3" t="s">
        <v>91</v>
      </c>
      <c r="G46" s="3" t="s">
        <v>13</v>
      </c>
      <c r="H46" s="3">
        <v>2000</v>
      </c>
      <c r="I46" s="3" t="s">
        <v>11</v>
      </c>
      <c r="J46" s="3">
        <v>118</v>
      </c>
      <c r="K46" s="4">
        <v>57</v>
      </c>
      <c r="L46" s="4">
        <v>6726</v>
      </c>
      <c r="M46" s="14"/>
    </row>
    <row r="47" spans="2:13" x14ac:dyDescent="0.3">
      <c r="B47" s="3" t="s">
        <v>443</v>
      </c>
      <c r="C47" s="5" t="s">
        <v>69</v>
      </c>
      <c r="D47" s="2" t="s">
        <v>88</v>
      </c>
      <c r="E47" s="3" t="s">
        <v>12</v>
      </c>
      <c r="F47" s="3" t="s">
        <v>89</v>
      </c>
      <c r="G47" s="3" t="s">
        <v>13</v>
      </c>
      <c r="H47" s="3">
        <v>1500</v>
      </c>
      <c r="I47" s="3" t="s">
        <v>11</v>
      </c>
      <c r="J47" s="3">
        <v>142</v>
      </c>
      <c r="K47" s="4">
        <v>40</v>
      </c>
      <c r="L47" s="4">
        <v>5680</v>
      </c>
      <c r="M47" s="14"/>
    </row>
    <row r="48" spans="2:13" x14ac:dyDescent="0.3">
      <c r="B48" s="3" t="s">
        <v>451</v>
      </c>
      <c r="C48" s="25" t="s">
        <v>69</v>
      </c>
      <c r="D48" s="15" t="s">
        <v>109</v>
      </c>
      <c r="E48" s="16" t="s">
        <v>12</v>
      </c>
      <c r="F48" s="16" t="s">
        <v>690</v>
      </c>
      <c r="G48" s="3" t="s">
        <v>13</v>
      </c>
      <c r="H48" s="16">
        <v>1500</v>
      </c>
      <c r="I48" s="3" t="s">
        <v>11</v>
      </c>
      <c r="J48" s="16">
        <v>4</v>
      </c>
      <c r="K48" s="4">
        <v>50</v>
      </c>
      <c r="L48" s="4">
        <v>200</v>
      </c>
      <c r="M48" s="14"/>
    </row>
    <row r="49" spans="2:13" x14ac:dyDescent="0.3">
      <c r="B49" s="3" t="s">
        <v>464</v>
      </c>
      <c r="C49" s="5" t="s">
        <v>69</v>
      </c>
      <c r="D49" s="2" t="s">
        <v>99</v>
      </c>
      <c r="E49" s="3" t="s">
        <v>12</v>
      </c>
      <c r="F49" s="3" t="s">
        <v>100</v>
      </c>
      <c r="G49" s="3" t="s">
        <v>13</v>
      </c>
      <c r="H49" s="3">
        <v>2300</v>
      </c>
      <c r="I49" s="3" t="s">
        <v>11</v>
      </c>
      <c r="J49" s="3">
        <v>22</v>
      </c>
      <c r="K49" s="4">
        <v>63</v>
      </c>
      <c r="L49" s="4">
        <v>1386</v>
      </c>
      <c r="M49" s="14"/>
    </row>
    <row r="50" spans="2:13" x14ac:dyDescent="0.3">
      <c r="B50" s="3" t="s">
        <v>470</v>
      </c>
      <c r="C50" s="26" t="s">
        <v>69</v>
      </c>
      <c r="D50" s="19" t="s">
        <v>82</v>
      </c>
      <c r="E50" s="20" t="s">
        <v>12</v>
      </c>
      <c r="F50" s="20" t="s">
        <v>83</v>
      </c>
      <c r="G50" s="3" t="s">
        <v>13</v>
      </c>
      <c r="H50" s="20">
        <v>1100</v>
      </c>
      <c r="I50" s="3" t="s">
        <v>11</v>
      </c>
      <c r="J50" s="20">
        <v>3</v>
      </c>
      <c r="K50" s="4">
        <v>71.34</v>
      </c>
      <c r="L50" s="4">
        <v>214.02</v>
      </c>
      <c r="M50" s="14"/>
    </row>
    <row r="51" spans="2:13" x14ac:dyDescent="0.3">
      <c r="B51" s="3" t="s">
        <v>459</v>
      </c>
      <c r="C51" s="5" t="s">
        <v>69</v>
      </c>
      <c r="D51" s="2" t="s">
        <v>86</v>
      </c>
      <c r="E51" s="3" t="s">
        <v>12</v>
      </c>
      <c r="F51" s="3" t="s">
        <v>87</v>
      </c>
      <c r="G51" s="3" t="s">
        <v>13</v>
      </c>
      <c r="H51" s="3">
        <v>3000</v>
      </c>
      <c r="I51" s="3" t="s">
        <v>11</v>
      </c>
      <c r="J51" s="3">
        <v>84</v>
      </c>
      <c r="K51" s="4">
        <v>62</v>
      </c>
      <c r="L51" s="4">
        <v>5208</v>
      </c>
      <c r="M51" s="14"/>
    </row>
    <row r="52" spans="2:13" x14ac:dyDescent="0.3">
      <c r="B52" s="3" t="s">
        <v>458</v>
      </c>
      <c r="C52" s="5" t="s">
        <v>69</v>
      </c>
      <c r="D52" s="2" t="s">
        <v>151</v>
      </c>
      <c r="E52" s="3" t="s">
        <v>14</v>
      </c>
      <c r="F52" s="3" t="s">
        <v>152</v>
      </c>
      <c r="G52" s="3" t="s">
        <v>13</v>
      </c>
      <c r="H52" s="3">
        <v>3000</v>
      </c>
      <c r="I52" s="3" t="s">
        <v>11</v>
      </c>
      <c r="J52" s="3">
        <v>90</v>
      </c>
      <c r="K52" s="4">
        <v>61.5</v>
      </c>
      <c r="L52" s="4">
        <v>5535</v>
      </c>
      <c r="M52" s="14"/>
    </row>
    <row r="53" spans="2:13" x14ac:dyDescent="0.3">
      <c r="B53" s="3" t="s">
        <v>490</v>
      </c>
      <c r="C53" s="5" t="s">
        <v>69</v>
      </c>
      <c r="D53" s="2" t="s">
        <v>157</v>
      </c>
      <c r="E53" s="3" t="s">
        <v>14</v>
      </c>
      <c r="F53" s="3" t="s">
        <v>158</v>
      </c>
      <c r="G53" s="3" t="s">
        <v>13</v>
      </c>
      <c r="H53" s="3">
        <v>3000</v>
      </c>
      <c r="I53" s="3" t="s">
        <v>11</v>
      </c>
      <c r="J53" s="3">
        <v>90</v>
      </c>
      <c r="K53" s="4">
        <v>216</v>
      </c>
      <c r="L53" s="4">
        <v>19440</v>
      </c>
      <c r="M53" s="14"/>
    </row>
    <row r="54" spans="2:13" x14ac:dyDescent="0.3">
      <c r="B54" s="3" t="s">
        <v>491</v>
      </c>
      <c r="C54" s="5" t="s">
        <v>69</v>
      </c>
      <c r="D54" s="2" t="s">
        <v>149</v>
      </c>
      <c r="E54" s="3" t="s">
        <v>14</v>
      </c>
      <c r="F54" s="3" t="s">
        <v>150</v>
      </c>
      <c r="G54" s="3" t="s">
        <v>13</v>
      </c>
      <c r="H54" s="3">
        <v>6000</v>
      </c>
      <c r="I54" s="3" t="s">
        <v>11</v>
      </c>
      <c r="J54" s="3">
        <v>3</v>
      </c>
      <c r="K54" s="4">
        <v>284</v>
      </c>
      <c r="L54" s="4">
        <v>852</v>
      </c>
      <c r="M54" s="14"/>
    </row>
    <row r="55" spans="2:13" x14ac:dyDescent="0.3">
      <c r="B55" s="3" t="s">
        <v>485</v>
      </c>
      <c r="C55" s="5" t="s">
        <v>69</v>
      </c>
      <c r="D55" s="2" t="s">
        <v>153</v>
      </c>
      <c r="E55" s="3" t="s">
        <v>14</v>
      </c>
      <c r="F55" s="3" t="s">
        <v>154</v>
      </c>
      <c r="G55" s="3" t="s">
        <v>13</v>
      </c>
      <c r="H55" s="3">
        <v>25000</v>
      </c>
      <c r="I55" s="3" t="s">
        <v>11</v>
      </c>
      <c r="J55" s="3">
        <v>54</v>
      </c>
      <c r="K55" s="4">
        <v>89</v>
      </c>
      <c r="L55" s="4">
        <v>4806</v>
      </c>
      <c r="M55" s="14"/>
    </row>
    <row r="56" spans="2:13" x14ac:dyDescent="0.3">
      <c r="B56" s="3" t="s">
        <v>483</v>
      </c>
      <c r="C56" s="5" t="s">
        <v>69</v>
      </c>
      <c r="D56" s="2" t="s">
        <v>155</v>
      </c>
      <c r="E56" s="3" t="s">
        <v>14</v>
      </c>
      <c r="F56" s="3" t="s">
        <v>156</v>
      </c>
      <c r="G56" s="3" t="s">
        <v>13</v>
      </c>
      <c r="H56" s="3">
        <v>2500</v>
      </c>
      <c r="I56" s="3" t="s">
        <v>11</v>
      </c>
      <c r="J56" s="3">
        <v>45</v>
      </c>
      <c r="K56" s="4">
        <v>82.5</v>
      </c>
      <c r="L56" s="4">
        <v>3712.5</v>
      </c>
      <c r="M56" s="14"/>
    </row>
    <row r="57" spans="2:13" x14ac:dyDescent="0.3">
      <c r="B57" s="3" t="s">
        <v>471</v>
      </c>
      <c r="C57" s="5" t="s">
        <v>69</v>
      </c>
      <c r="D57" s="2" t="s">
        <v>110</v>
      </c>
      <c r="E57" s="3" t="s">
        <v>12</v>
      </c>
      <c r="F57" s="3" t="s">
        <v>111</v>
      </c>
      <c r="G57" s="3" t="s">
        <v>13</v>
      </c>
      <c r="H57" s="3">
        <v>1100</v>
      </c>
      <c r="I57" s="3" t="s">
        <v>11</v>
      </c>
      <c r="J57" s="3">
        <v>2</v>
      </c>
      <c r="K57" s="4">
        <v>72</v>
      </c>
      <c r="L57" s="4">
        <v>144</v>
      </c>
      <c r="M57" s="14"/>
    </row>
    <row r="58" spans="2:13" x14ac:dyDescent="0.3">
      <c r="B58" s="3" t="s">
        <v>472</v>
      </c>
      <c r="C58" s="26" t="s">
        <v>69</v>
      </c>
      <c r="D58" s="19" t="s">
        <v>82</v>
      </c>
      <c r="E58" s="20" t="s">
        <v>12</v>
      </c>
      <c r="F58" s="20" t="s">
        <v>111</v>
      </c>
      <c r="G58" s="3" t="s">
        <v>13</v>
      </c>
      <c r="H58" s="20">
        <v>1100</v>
      </c>
      <c r="I58" s="3" t="s">
        <v>11</v>
      </c>
      <c r="J58" s="20">
        <v>3</v>
      </c>
      <c r="K58" s="4">
        <v>72</v>
      </c>
      <c r="L58" s="4">
        <v>216</v>
      </c>
      <c r="M58" s="14"/>
    </row>
    <row r="59" spans="2:13" x14ac:dyDescent="0.3">
      <c r="B59" s="3" t="s">
        <v>473</v>
      </c>
      <c r="C59" s="5" t="s">
        <v>69</v>
      </c>
      <c r="D59" s="2" t="s">
        <v>112</v>
      </c>
      <c r="E59" s="3" t="s">
        <v>12</v>
      </c>
      <c r="F59" s="3" t="s">
        <v>111</v>
      </c>
      <c r="G59" s="3" t="s">
        <v>13</v>
      </c>
      <c r="H59" s="3">
        <v>1100</v>
      </c>
      <c r="I59" s="3" t="s">
        <v>11</v>
      </c>
      <c r="J59" s="3">
        <v>2</v>
      </c>
      <c r="K59" s="4">
        <v>72</v>
      </c>
      <c r="L59" s="4">
        <v>144</v>
      </c>
      <c r="M59" s="14"/>
    </row>
    <row r="60" spans="2:13" x14ac:dyDescent="0.3">
      <c r="B60" s="3" t="s">
        <v>474</v>
      </c>
      <c r="C60" s="5" t="s">
        <v>69</v>
      </c>
      <c r="D60" s="2" t="s">
        <v>113</v>
      </c>
      <c r="E60" s="3" t="s">
        <v>12</v>
      </c>
      <c r="F60" s="3" t="s">
        <v>111</v>
      </c>
      <c r="G60" s="3" t="s">
        <v>13</v>
      </c>
      <c r="H60" s="3">
        <v>1100</v>
      </c>
      <c r="I60" s="3" t="s">
        <v>11</v>
      </c>
      <c r="J60" s="3">
        <v>3</v>
      </c>
      <c r="K60" s="4">
        <v>72</v>
      </c>
      <c r="L60" s="4">
        <v>216</v>
      </c>
      <c r="M60" s="14"/>
    </row>
    <row r="61" spans="2:13" x14ac:dyDescent="0.3">
      <c r="B61" s="3" t="s">
        <v>468</v>
      </c>
      <c r="C61" s="5" t="s">
        <v>69</v>
      </c>
      <c r="D61" s="2" t="s">
        <v>131</v>
      </c>
      <c r="E61" s="3" t="s">
        <v>21</v>
      </c>
      <c r="F61" s="3" t="s">
        <v>132</v>
      </c>
      <c r="G61" s="3" t="s">
        <v>13</v>
      </c>
      <c r="H61" s="3">
        <v>3000</v>
      </c>
      <c r="I61" s="3" t="s">
        <v>11</v>
      </c>
      <c r="J61" s="3">
        <v>22</v>
      </c>
      <c r="K61" s="4">
        <v>63.62</v>
      </c>
      <c r="L61" s="4">
        <v>1399.64</v>
      </c>
      <c r="M61" s="14"/>
    </row>
    <row r="62" spans="2:13" x14ac:dyDescent="0.3">
      <c r="B62" s="3" t="s">
        <v>492</v>
      </c>
      <c r="C62" s="5" t="s">
        <v>69</v>
      </c>
      <c r="D62" s="2" t="s">
        <v>159</v>
      </c>
      <c r="E62" s="3" t="s">
        <v>14</v>
      </c>
      <c r="F62" s="3" t="s">
        <v>160</v>
      </c>
      <c r="G62" s="3" t="s">
        <v>13</v>
      </c>
      <c r="H62" s="3">
        <v>2500</v>
      </c>
      <c r="I62" s="3" t="s">
        <v>11</v>
      </c>
      <c r="J62" s="3">
        <v>69</v>
      </c>
      <c r="K62" s="4">
        <v>299</v>
      </c>
      <c r="L62" s="4">
        <v>20631</v>
      </c>
      <c r="M62" s="14"/>
    </row>
    <row r="63" spans="2:13" x14ac:dyDescent="0.3">
      <c r="B63" s="3" t="s">
        <v>484</v>
      </c>
      <c r="C63" s="5" t="s">
        <v>69</v>
      </c>
      <c r="D63" s="2" t="s">
        <v>169</v>
      </c>
      <c r="E63" s="3" t="s">
        <v>15</v>
      </c>
      <c r="F63" s="3" t="s">
        <v>168</v>
      </c>
      <c r="G63" s="3" t="s">
        <v>13</v>
      </c>
      <c r="H63" s="3">
        <v>25000</v>
      </c>
      <c r="I63" s="3" t="s">
        <v>11</v>
      </c>
      <c r="J63" s="3">
        <v>28</v>
      </c>
      <c r="K63" s="4">
        <v>86.32</v>
      </c>
      <c r="L63" s="4">
        <v>2416.96</v>
      </c>
      <c r="M63" s="14"/>
    </row>
    <row r="64" spans="2:13" x14ac:dyDescent="0.3">
      <c r="B64" s="3" t="s">
        <v>488</v>
      </c>
      <c r="C64" s="5" t="s">
        <v>69</v>
      </c>
      <c r="D64" s="2" t="s">
        <v>167</v>
      </c>
      <c r="E64" s="3" t="s">
        <v>15</v>
      </c>
      <c r="F64" s="3" t="s">
        <v>168</v>
      </c>
      <c r="G64" s="3" t="s">
        <v>13</v>
      </c>
      <c r="H64" s="3">
        <v>3000</v>
      </c>
      <c r="I64" s="3" t="s">
        <v>11</v>
      </c>
      <c r="J64" s="3">
        <v>322</v>
      </c>
      <c r="K64" s="4">
        <v>105.98</v>
      </c>
      <c r="L64" s="4">
        <v>34125.56</v>
      </c>
      <c r="M64" s="14"/>
    </row>
    <row r="65" spans="2:13" x14ac:dyDescent="0.3">
      <c r="B65" s="3" t="s">
        <v>465</v>
      </c>
      <c r="C65" s="5" t="s">
        <v>69</v>
      </c>
      <c r="D65" s="2" t="s">
        <v>166</v>
      </c>
      <c r="E65" s="3" t="s">
        <v>15</v>
      </c>
      <c r="F65" s="3" t="s">
        <v>164</v>
      </c>
      <c r="G65" s="3" t="s">
        <v>13</v>
      </c>
      <c r="H65" s="3">
        <v>2000</v>
      </c>
      <c r="I65" s="3" t="s">
        <v>11</v>
      </c>
      <c r="J65" s="3">
        <v>48</v>
      </c>
      <c r="K65" s="4">
        <v>63</v>
      </c>
      <c r="L65" s="4">
        <v>3024</v>
      </c>
      <c r="M65" s="14"/>
    </row>
    <row r="66" spans="2:13" x14ac:dyDescent="0.3">
      <c r="B66" s="3" t="s">
        <v>466</v>
      </c>
      <c r="C66" s="5" t="s">
        <v>69</v>
      </c>
      <c r="D66" s="2" t="s">
        <v>163</v>
      </c>
      <c r="E66" s="3" t="s">
        <v>15</v>
      </c>
      <c r="F66" s="3" t="s">
        <v>164</v>
      </c>
      <c r="G66" s="3" t="s">
        <v>13</v>
      </c>
      <c r="H66" s="3">
        <v>2000</v>
      </c>
      <c r="I66" s="3" t="s">
        <v>11</v>
      </c>
      <c r="J66" s="3">
        <v>54</v>
      </c>
      <c r="K66" s="4">
        <v>63</v>
      </c>
      <c r="L66" s="4">
        <v>3402</v>
      </c>
      <c r="M66" s="14"/>
    </row>
    <row r="67" spans="2:13" x14ac:dyDescent="0.3">
      <c r="B67" s="3" t="s">
        <v>467</v>
      </c>
      <c r="C67" s="5" t="s">
        <v>69</v>
      </c>
      <c r="D67" s="2" t="s">
        <v>165</v>
      </c>
      <c r="E67" s="3" t="s">
        <v>15</v>
      </c>
      <c r="F67" s="3" t="s">
        <v>164</v>
      </c>
      <c r="G67" s="3" t="s">
        <v>13</v>
      </c>
      <c r="H67" s="3">
        <v>2000</v>
      </c>
      <c r="I67" s="3" t="s">
        <v>11</v>
      </c>
      <c r="J67" s="3">
        <v>56</v>
      </c>
      <c r="K67" s="4">
        <v>63</v>
      </c>
      <c r="L67" s="4">
        <v>3528</v>
      </c>
      <c r="M67" s="14"/>
    </row>
    <row r="68" spans="2:13" x14ac:dyDescent="0.3">
      <c r="B68" s="3" t="s">
        <v>487</v>
      </c>
      <c r="C68" s="5" t="s">
        <v>69</v>
      </c>
      <c r="D68" s="2" t="s">
        <v>170</v>
      </c>
      <c r="E68" s="3" t="s">
        <v>15</v>
      </c>
      <c r="F68" s="3" t="s">
        <v>164</v>
      </c>
      <c r="G68" s="3" t="s">
        <v>13</v>
      </c>
      <c r="H68" s="3">
        <v>30000</v>
      </c>
      <c r="I68" s="3" t="s">
        <v>11</v>
      </c>
      <c r="J68" s="3">
        <v>13</v>
      </c>
      <c r="K68" s="4">
        <v>104.45</v>
      </c>
      <c r="L68" s="4">
        <v>1357.85</v>
      </c>
      <c r="M68" s="14"/>
    </row>
    <row r="69" spans="2:13" x14ac:dyDescent="0.3">
      <c r="B69" s="3" t="s">
        <v>444</v>
      </c>
      <c r="C69" s="5" t="s">
        <v>69</v>
      </c>
      <c r="D69" s="2" t="s">
        <v>161</v>
      </c>
      <c r="E69" s="3" t="s">
        <v>15</v>
      </c>
      <c r="F69" s="3" t="s">
        <v>162</v>
      </c>
      <c r="G69" s="3" t="s">
        <v>13</v>
      </c>
      <c r="H69" s="3">
        <v>24000</v>
      </c>
      <c r="I69" s="3" t="s">
        <v>11</v>
      </c>
      <c r="J69" s="3">
        <v>169</v>
      </c>
      <c r="K69" s="4">
        <v>40.590000000000003</v>
      </c>
      <c r="L69" s="4">
        <v>6859.71</v>
      </c>
      <c r="M69" s="14"/>
    </row>
    <row r="70" spans="2:13" x14ac:dyDescent="0.3">
      <c r="B70" s="3" t="s">
        <v>481</v>
      </c>
      <c r="C70" s="5" t="s">
        <v>69</v>
      </c>
      <c r="D70" s="2" t="s">
        <v>118</v>
      </c>
      <c r="E70" s="3" t="s">
        <v>12</v>
      </c>
      <c r="F70" s="3" t="s">
        <v>51</v>
      </c>
      <c r="G70" s="3" t="s">
        <v>13</v>
      </c>
      <c r="H70" s="3">
        <v>2300</v>
      </c>
      <c r="I70" s="3" t="s">
        <v>11</v>
      </c>
      <c r="J70" s="3">
        <v>22</v>
      </c>
      <c r="K70" s="4">
        <v>79.45</v>
      </c>
      <c r="L70" s="4">
        <v>1747.9</v>
      </c>
      <c r="M70" s="14"/>
    </row>
    <row r="71" spans="2:13" x14ac:dyDescent="0.3">
      <c r="B71" s="3" t="s">
        <v>447</v>
      </c>
      <c r="C71" s="5" t="s">
        <v>69</v>
      </c>
      <c r="D71" s="2" t="s">
        <v>123</v>
      </c>
      <c r="E71" s="3" t="s">
        <v>12</v>
      </c>
      <c r="F71" s="3" t="s">
        <v>120</v>
      </c>
      <c r="G71" s="3" t="s">
        <v>13</v>
      </c>
      <c r="H71" s="3">
        <v>1100</v>
      </c>
      <c r="I71" s="3" t="s">
        <v>11</v>
      </c>
      <c r="J71" s="3">
        <v>168</v>
      </c>
      <c r="K71" s="4">
        <v>48.66</v>
      </c>
      <c r="L71" s="4">
        <v>8174.88</v>
      </c>
      <c r="M71" s="14"/>
    </row>
    <row r="72" spans="2:13" x14ac:dyDescent="0.3">
      <c r="B72" s="3" t="s">
        <v>449</v>
      </c>
      <c r="C72" s="25" t="s">
        <v>69</v>
      </c>
      <c r="D72" s="15" t="s">
        <v>109</v>
      </c>
      <c r="E72" s="16" t="s">
        <v>12</v>
      </c>
      <c r="F72" s="16" t="s">
        <v>120</v>
      </c>
      <c r="G72" s="3" t="s">
        <v>13</v>
      </c>
      <c r="H72" s="16">
        <v>1100</v>
      </c>
      <c r="I72" s="3" t="s">
        <v>11</v>
      </c>
      <c r="J72" s="16">
        <v>4</v>
      </c>
      <c r="K72" s="4">
        <v>49</v>
      </c>
      <c r="L72" s="4">
        <v>196</v>
      </c>
      <c r="M72" s="14"/>
    </row>
    <row r="73" spans="2:13" x14ac:dyDescent="0.3">
      <c r="B73" s="3" t="s">
        <v>455</v>
      </c>
      <c r="C73" s="5" t="s">
        <v>69</v>
      </c>
      <c r="D73" s="2" t="s">
        <v>128</v>
      </c>
      <c r="E73" s="3" t="s">
        <v>21</v>
      </c>
      <c r="F73" s="3" t="s">
        <v>120</v>
      </c>
      <c r="G73" s="3" t="s">
        <v>13</v>
      </c>
      <c r="H73" s="3">
        <v>1500</v>
      </c>
      <c r="I73" s="3" t="s">
        <v>11</v>
      </c>
      <c r="J73" s="3">
        <v>3</v>
      </c>
      <c r="K73" s="4">
        <v>55</v>
      </c>
      <c r="L73" s="4">
        <v>165</v>
      </c>
      <c r="M73" s="14"/>
    </row>
    <row r="74" spans="2:13" x14ac:dyDescent="0.3">
      <c r="B74" s="3" t="s">
        <v>460</v>
      </c>
      <c r="C74" s="5" t="s">
        <v>69</v>
      </c>
      <c r="D74" s="2" t="s">
        <v>119</v>
      </c>
      <c r="E74" s="3" t="s">
        <v>12</v>
      </c>
      <c r="F74" s="3" t="s">
        <v>120</v>
      </c>
      <c r="G74" s="3" t="s">
        <v>13</v>
      </c>
      <c r="H74" s="3">
        <v>1100</v>
      </c>
      <c r="I74" s="3" t="s">
        <v>11</v>
      </c>
      <c r="J74" s="3">
        <v>1</v>
      </c>
      <c r="K74" s="4">
        <v>62.99</v>
      </c>
      <c r="L74" s="4">
        <v>62.99</v>
      </c>
      <c r="M74" s="14"/>
    </row>
    <row r="75" spans="2:13" x14ac:dyDescent="0.3">
      <c r="B75" s="3" t="s">
        <v>461</v>
      </c>
      <c r="C75" s="5" t="s">
        <v>69</v>
      </c>
      <c r="D75" s="2" t="s">
        <v>121</v>
      </c>
      <c r="E75" s="3" t="s">
        <v>12</v>
      </c>
      <c r="F75" s="3" t="s">
        <v>120</v>
      </c>
      <c r="G75" s="3" t="s">
        <v>13</v>
      </c>
      <c r="H75" s="3">
        <v>1100</v>
      </c>
      <c r="I75" s="3" t="s">
        <v>11</v>
      </c>
      <c r="J75" s="3">
        <v>1</v>
      </c>
      <c r="K75" s="4">
        <v>62.99</v>
      </c>
      <c r="L75" s="4">
        <v>62.99</v>
      </c>
      <c r="M75" s="14"/>
    </row>
    <row r="76" spans="2:13" x14ac:dyDescent="0.3">
      <c r="B76" s="3" t="s">
        <v>462</v>
      </c>
      <c r="C76" s="5" t="s">
        <v>69</v>
      </c>
      <c r="D76" s="2" t="s">
        <v>122</v>
      </c>
      <c r="E76" s="3" t="s">
        <v>12</v>
      </c>
      <c r="F76" s="3" t="s">
        <v>120</v>
      </c>
      <c r="G76" s="3" t="s">
        <v>13</v>
      </c>
      <c r="H76" s="3">
        <v>1100</v>
      </c>
      <c r="I76" s="3" t="s">
        <v>11</v>
      </c>
      <c r="J76" s="3">
        <v>1</v>
      </c>
      <c r="K76" s="4">
        <v>62.99</v>
      </c>
      <c r="L76" s="4">
        <v>62.99</v>
      </c>
      <c r="M76" s="14"/>
    </row>
    <row r="77" spans="2:13" x14ac:dyDescent="0.3">
      <c r="B77" s="3" t="s">
        <v>425</v>
      </c>
      <c r="C77" s="5" t="s">
        <v>69</v>
      </c>
      <c r="D77" s="2" t="s">
        <v>183</v>
      </c>
      <c r="E77" s="3" t="s">
        <v>67</v>
      </c>
      <c r="F77" s="3" t="s">
        <v>184</v>
      </c>
      <c r="G77" s="3" t="s">
        <v>13</v>
      </c>
      <c r="H77" s="3"/>
      <c r="I77" s="3" t="s">
        <v>11</v>
      </c>
      <c r="J77" s="3">
        <v>2</v>
      </c>
      <c r="K77" s="4">
        <v>25</v>
      </c>
      <c r="L77" s="4">
        <v>50</v>
      </c>
      <c r="M77" s="14"/>
    </row>
    <row r="78" spans="2:13" x14ac:dyDescent="0.3">
      <c r="B78" s="3" t="s">
        <v>415</v>
      </c>
      <c r="C78" s="5" t="s">
        <v>69</v>
      </c>
      <c r="D78" s="2" t="s">
        <v>192</v>
      </c>
      <c r="E78" s="3" t="s">
        <v>67</v>
      </c>
      <c r="F78" s="3" t="s">
        <v>182</v>
      </c>
      <c r="G78" s="3" t="s">
        <v>13</v>
      </c>
      <c r="H78" s="3"/>
      <c r="I78" s="3" t="s">
        <v>11</v>
      </c>
      <c r="J78" s="3">
        <v>14</v>
      </c>
      <c r="K78" s="4">
        <v>8</v>
      </c>
      <c r="L78" s="4">
        <v>112</v>
      </c>
      <c r="M78" s="14"/>
    </row>
    <row r="79" spans="2:13" x14ac:dyDescent="0.3">
      <c r="B79" s="3" t="s">
        <v>420</v>
      </c>
      <c r="C79" s="5" t="s">
        <v>69</v>
      </c>
      <c r="D79" s="2" t="s">
        <v>181</v>
      </c>
      <c r="E79" s="3" t="s">
        <v>67</v>
      </c>
      <c r="F79" s="3" t="s">
        <v>182</v>
      </c>
      <c r="G79" s="3" t="s">
        <v>13</v>
      </c>
      <c r="H79" s="3"/>
      <c r="I79" s="3" t="s">
        <v>11</v>
      </c>
      <c r="J79" s="3">
        <v>8</v>
      </c>
      <c r="K79" s="4">
        <v>11</v>
      </c>
      <c r="L79" s="4">
        <v>88</v>
      </c>
      <c r="M79" s="14"/>
    </row>
    <row r="80" spans="2:13" x14ac:dyDescent="0.3">
      <c r="B80" s="3" t="s">
        <v>421</v>
      </c>
      <c r="C80" s="5" t="s">
        <v>69</v>
      </c>
      <c r="D80" s="2" t="s">
        <v>171</v>
      </c>
      <c r="E80" s="3" t="s">
        <v>23</v>
      </c>
      <c r="F80" s="3" t="s">
        <v>172</v>
      </c>
      <c r="G80" s="3" t="s">
        <v>13</v>
      </c>
      <c r="H80" s="3">
        <v>2500</v>
      </c>
      <c r="I80" s="3" t="s">
        <v>11</v>
      </c>
      <c r="J80" s="3">
        <v>3</v>
      </c>
      <c r="K80" s="4">
        <v>11</v>
      </c>
      <c r="L80" s="4">
        <v>33</v>
      </c>
      <c r="M80" s="14"/>
    </row>
    <row r="81" spans="2:13" x14ac:dyDescent="0.3">
      <c r="B81" s="3" t="s">
        <v>479</v>
      </c>
      <c r="C81" s="5" t="s">
        <v>69</v>
      </c>
      <c r="D81" s="2" t="s">
        <v>129</v>
      </c>
      <c r="E81" s="3" t="s">
        <v>21</v>
      </c>
      <c r="F81" s="3" t="s">
        <v>130</v>
      </c>
      <c r="G81" s="3" t="s">
        <v>13</v>
      </c>
      <c r="H81" s="3">
        <v>12000</v>
      </c>
      <c r="I81" s="3" t="s">
        <v>11</v>
      </c>
      <c r="J81" s="3">
        <v>48</v>
      </c>
      <c r="K81" s="4">
        <v>74.099999999999994</v>
      </c>
      <c r="L81" s="4">
        <v>3556.8</v>
      </c>
      <c r="M81" s="14"/>
    </row>
    <row r="82" spans="2:13" x14ac:dyDescent="0.3">
      <c r="B82" s="3" t="s">
        <v>493</v>
      </c>
      <c r="C82" s="23" t="s">
        <v>69</v>
      </c>
      <c r="D82" s="1" t="s">
        <v>692</v>
      </c>
      <c r="E82" s="21" t="s">
        <v>693</v>
      </c>
      <c r="F82" s="21" t="s">
        <v>693</v>
      </c>
      <c r="G82" s="21"/>
      <c r="H82" s="21"/>
      <c r="I82" s="21" t="s">
        <v>11</v>
      </c>
      <c r="J82" s="21">
        <v>80</v>
      </c>
      <c r="K82" s="22">
        <v>19.95</v>
      </c>
      <c r="L82" s="22">
        <f>J82*K82</f>
        <v>1596</v>
      </c>
      <c r="M82" s="14"/>
    </row>
    <row r="83" spans="2:13" x14ac:dyDescent="0.3">
      <c r="B83" s="3" t="s">
        <v>417</v>
      </c>
      <c r="C83" s="5" t="s">
        <v>69</v>
      </c>
      <c r="D83" s="2" t="s">
        <v>193</v>
      </c>
      <c r="E83" s="3" t="s">
        <v>67</v>
      </c>
      <c r="F83" s="3" t="s">
        <v>67</v>
      </c>
      <c r="G83" s="3" t="s">
        <v>13</v>
      </c>
      <c r="H83" s="3"/>
      <c r="I83" s="3" t="s">
        <v>11</v>
      </c>
      <c r="J83" s="3">
        <v>51</v>
      </c>
      <c r="K83" s="4">
        <v>10.3</v>
      </c>
      <c r="L83" s="4">
        <v>525.29999999999995</v>
      </c>
      <c r="M83" s="14"/>
    </row>
    <row r="84" spans="2:13" x14ac:dyDescent="0.3">
      <c r="B84" s="3" t="s">
        <v>414</v>
      </c>
      <c r="C84" s="5" t="s">
        <v>69</v>
      </c>
      <c r="D84" s="2" t="s">
        <v>191</v>
      </c>
      <c r="E84" s="3" t="s">
        <v>67</v>
      </c>
      <c r="F84" s="3" t="s">
        <v>689</v>
      </c>
      <c r="G84" s="3" t="s">
        <v>13</v>
      </c>
      <c r="H84" s="3"/>
      <c r="I84" s="3" t="s">
        <v>11</v>
      </c>
      <c r="J84" s="3">
        <v>20</v>
      </c>
      <c r="K84" s="4">
        <v>6</v>
      </c>
      <c r="L84" s="4">
        <v>120</v>
      </c>
      <c r="M84" s="14"/>
    </row>
    <row r="85" spans="2:13" x14ac:dyDescent="0.3">
      <c r="B85" s="3" t="s">
        <v>434</v>
      </c>
      <c r="C85" s="5" t="s">
        <v>69</v>
      </c>
      <c r="D85" s="2" t="s">
        <v>189</v>
      </c>
      <c r="E85" s="3" t="s">
        <v>67</v>
      </c>
      <c r="F85" s="3" t="s">
        <v>190</v>
      </c>
      <c r="G85" s="3" t="s">
        <v>13</v>
      </c>
      <c r="H85" s="3"/>
      <c r="I85" s="3" t="s">
        <v>11</v>
      </c>
      <c r="J85" s="3">
        <v>30</v>
      </c>
      <c r="K85" s="4">
        <v>34</v>
      </c>
      <c r="L85" s="4">
        <v>1020</v>
      </c>
      <c r="M85" s="14"/>
    </row>
  </sheetData>
  <autoFilter ref="B2:M85" xr:uid="{4549B53E-7DC6-48B4-A40B-7823117916C3}">
    <sortState xmlns:xlrd2="http://schemas.microsoft.com/office/spreadsheetml/2017/richdata2" ref="B3:M85">
      <sortCondition ref="F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Modelo de Resposta</vt:lpstr>
      <vt:lpstr>Valor Total por Lote</vt:lpstr>
      <vt:lpstr>CHLO - Retif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Carapeto</dc:creator>
  <cp:lastModifiedBy>Carla Ribeiro</cp:lastModifiedBy>
  <dcterms:created xsi:type="dcterms:W3CDTF">2015-06-05T18:19:34Z</dcterms:created>
  <dcterms:modified xsi:type="dcterms:W3CDTF">2026-03-06T15:41:58Z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0328b2-cbbd-405e-b01b-32c4759a0ed0_Enabled">
    <vt:lpwstr>true</vt:lpwstr>
  </property>
  <property fmtid="{D5CDD505-2E9C-101B-9397-08002B2CF9AE}" pid="3" name="MSIP_Label_e60328b2-cbbd-405e-b01b-32c4759a0ed0_SetDate">
    <vt:lpwstr>2026-02-27T15:29:21Z</vt:lpwstr>
  </property>
  <property fmtid="{D5CDD505-2E9C-101B-9397-08002B2CF9AE}" pid="4" name="MSIP_Label_e60328b2-cbbd-405e-b01b-32c4759a0ed0_Method">
    <vt:lpwstr>Standard</vt:lpwstr>
  </property>
  <property fmtid="{D5CDD505-2E9C-101B-9397-08002B2CF9AE}" pid="5" name="MSIP_Label_e60328b2-cbbd-405e-b01b-32c4759a0ed0_Name">
    <vt:lpwstr>Public Label</vt:lpwstr>
  </property>
  <property fmtid="{D5CDD505-2E9C-101B-9397-08002B2CF9AE}" pid="6" name="MSIP_Label_e60328b2-cbbd-405e-b01b-32c4759a0ed0_SiteId">
    <vt:lpwstr>22c84608-f01d-46c5-8024-63cc962e5f51</vt:lpwstr>
  </property>
  <property fmtid="{D5CDD505-2E9C-101B-9397-08002B2CF9AE}" pid="7" name="MSIP_Label_e60328b2-cbbd-405e-b01b-32c4759a0ed0_ActionId">
    <vt:lpwstr>f8553692-f837-4de5-9716-b805092a5c71</vt:lpwstr>
  </property>
  <property fmtid="{D5CDD505-2E9C-101B-9397-08002B2CF9AE}" pid="8" name="MSIP_Label_e60328b2-cbbd-405e-b01b-32c4759a0ed0_ContentBits">
    <vt:lpwstr>0</vt:lpwstr>
  </property>
  <property fmtid="{D5CDD505-2E9C-101B-9397-08002B2CF9AE}" pid="9" name="MSIP_Label_e60328b2-cbbd-405e-b01b-32c4759a0ed0_Tag">
    <vt:lpwstr>10, 3, 0, 1</vt:lpwstr>
  </property>
</Properties>
</file>